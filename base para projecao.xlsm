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serci\OneDrive\00 caixa\AAA PRODUÇÕES TEMÁTICAS\selecao_Precificacao\"/>
    </mc:Choice>
  </mc:AlternateContent>
  <xr:revisionPtr revIDLastSave="0" documentId="13_ncr:1_{F0725620-E73A-4D38-BF74-F3328B9A10C8}" xr6:coauthVersionLast="47" xr6:coauthVersionMax="47" xr10:uidLastSave="{00000000-0000-0000-0000-000000000000}"/>
  <bookViews>
    <workbookView xWindow="-21720" yWindow="-120" windowWidth="21840" windowHeight="13020" activeTab="1" xr2:uid="{00000000-000D-0000-FFFF-FFFF00000000}"/>
  </bookViews>
  <sheets>
    <sheet name="informações basicas" sheetId="1" r:id="rId1"/>
    <sheet name="rendimentos mensais calculos" sheetId="2" r:id="rId2"/>
  </sheets>
  <functionGroups builtInGroupCount="19"/>
  <definedNames>
    <definedName name="ADMIN_IMOB">'informações basicas'!$B$8</definedName>
    <definedName name="CDB">'informações basicas'!$B$7</definedName>
    <definedName name="CDI">'informações basicas'!$B$4</definedName>
    <definedName name="IGPM">'informações basicas'!$B$5</definedName>
    <definedName name="IPCA">'informações basicas'!$B$6</definedName>
    <definedName name="selic">'informações basicas'!$B$2</definedName>
    <definedName name="TR">'informações basicas'!$B$3</definedName>
    <definedName name="VALOR_IMOVEL">'informações basicas'!$B$9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2" i="2" l="1" a="1"/>
  <c r="D62" i="2" s="1"/>
  <c r="E62" i="2" s="1" a="1"/>
  <c r="E62" i="2" s="1"/>
  <c r="D2" i="2" a="1"/>
  <c r="D2" i="2" s="1"/>
  <c r="G62" i="2" l="1"/>
  <c r="C63" i="2" s="1"/>
  <c r="C3" i="2"/>
  <c r="G2" i="2"/>
  <c r="D63" i="2" l="1" a="1"/>
  <c r="D63" i="2" s="1"/>
  <c r="D3" i="2" a="1"/>
  <c r="D3" i="2" s="1"/>
  <c r="E63" i="2" l="1" a="1"/>
  <c r="E63" i="2" s="1"/>
  <c r="G63" i="2" s="1"/>
  <c r="C64" i="2" s="1"/>
  <c r="D64" i="2" s="1" a="1"/>
  <c r="D64" i="2" s="1"/>
  <c r="E64" i="2" s="1" a="1"/>
  <c r="E64" i="2" s="1"/>
  <c r="G3" i="2"/>
  <c r="C4" i="2"/>
  <c r="G64" i="2" l="1"/>
  <c r="C65" i="2" s="1"/>
  <c r="D4" i="2" a="1"/>
  <c r="D4" i="2" s="1"/>
  <c r="D65" i="2" l="1" a="1"/>
  <c r="D65" i="2" s="1"/>
  <c r="G4" i="2"/>
  <c r="C5" i="2"/>
  <c r="E65" i="2" l="1" a="1"/>
  <c r="E65" i="2" s="1"/>
  <c r="G65" i="2" s="1"/>
  <c r="C66" i="2" s="1"/>
  <c r="D5" i="2" a="1"/>
  <c r="D5" i="2" s="1"/>
  <c r="D66" i="2" l="1" a="1"/>
  <c r="D66" i="2" s="1"/>
  <c r="G5" i="2"/>
  <c r="C6" i="2"/>
  <c r="E66" i="2" l="1" a="1"/>
  <c r="E66" i="2" s="1"/>
  <c r="G66" i="2" s="1"/>
  <c r="C67" i="2" s="1"/>
  <c r="D6" i="2" a="1"/>
  <c r="D6" i="2" s="1"/>
  <c r="D67" i="2" l="1" a="1"/>
  <c r="D67" i="2" s="1"/>
  <c r="G6" i="2"/>
  <c r="C7" i="2"/>
  <c r="E67" i="2" l="1" a="1"/>
  <c r="E67" i="2" s="1"/>
  <c r="G67" i="2" s="1"/>
  <c r="C68" i="2" s="1"/>
  <c r="D7" i="2" a="1"/>
  <c r="D7" i="2" s="1"/>
  <c r="D68" i="2" l="1" a="1"/>
  <c r="D68" i="2" s="1"/>
  <c r="G7" i="2"/>
  <c r="C8" i="2"/>
  <c r="E68" i="2" l="1" a="1"/>
  <c r="E68" i="2" s="1"/>
  <c r="G68" i="2" s="1"/>
  <c r="C69" i="2" s="1"/>
  <c r="D8" i="2" a="1"/>
  <c r="D8" i="2" s="1"/>
  <c r="D69" i="2" l="1" a="1"/>
  <c r="D69" i="2" s="1"/>
  <c r="G8" i="2"/>
  <c r="C9" i="2"/>
  <c r="E69" i="2" l="1" a="1"/>
  <c r="E69" i="2" s="1"/>
  <c r="G69" i="2" s="1"/>
  <c r="C70" i="2" s="1"/>
  <c r="D9" i="2" a="1"/>
  <c r="D9" i="2" s="1"/>
  <c r="D70" i="2" l="1" a="1"/>
  <c r="D70" i="2" s="1"/>
  <c r="G9" i="2"/>
  <c r="C10" i="2"/>
  <c r="E70" i="2" l="1" a="1"/>
  <c r="E70" i="2" s="1"/>
  <c r="G70" i="2" s="1"/>
  <c r="C71" i="2" s="1"/>
  <c r="D10" i="2" a="1"/>
  <c r="D10" i="2" s="1"/>
  <c r="D71" i="2" l="1" a="1"/>
  <c r="D71" i="2" s="1"/>
  <c r="G10" i="2"/>
  <c r="C11" i="2"/>
  <c r="E71" i="2" l="1" a="1"/>
  <c r="E71" i="2" s="1"/>
  <c r="G71" i="2" s="1"/>
  <c r="C72" i="2" s="1"/>
  <c r="D11" i="2" a="1"/>
  <c r="D11" i="2" s="1"/>
  <c r="D72" i="2" l="1" a="1"/>
  <c r="D72" i="2" s="1"/>
  <c r="G11" i="2"/>
  <c r="C12" i="2"/>
  <c r="E72" i="2" l="1" a="1"/>
  <c r="E72" i="2" s="1"/>
  <c r="G72" i="2" s="1"/>
  <c r="C73" i="2" s="1"/>
  <c r="D12" i="2" a="1"/>
  <c r="D12" i="2" s="1"/>
  <c r="D73" i="2" l="1" a="1"/>
  <c r="D73" i="2" s="1"/>
  <c r="G12" i="2"/>
  <c r="C13" i="2"/>
  <c r="E73" i="2" l="1" a="1"/>
  <c r="E73" i="2" s="1"/>
  <c r="G73" i="2" s="1"/>
  <c r="C74" i="2" s="1"/>
  <c r="D13" i="2" a="1"/>
  <c r="D13" i="2" s="1"/>
  <c r="D74" i="2" l="1" a="1"/>
  <c r="D74" i="2" s="1"/>
  <c r="G13" i="2"/>
  <c r="C14" i="2"/>
  <c r="E74" i="2" l="1" a="1"/>
  <c r="E74" i="2" s="1"/>
  <c r="G74" i="2" s="1"/>
  <c r="C75" i="2" s="1"/>
  <c r="D14" i="2" a="1"/>
  <c r="D14" i="2" s="1"/>
  <c r="D75" i="2" l="1" a="1"/>
  <c r="D75" i="2" s="1"/>
  <c r="G14" i="2"/>
  <c r="C15" i="2"/>
  <c r="E75" i="2" l="1" a="1"/>
  <c r="E75" i="2" s="1"/>
  <c r="G75" i="2" s="1"/>
  <c r="C76" i="2" s="1"/>
  <c r="D15" i="2" a="1"/>
  <c r="D15" i="2" s="1"/>
  <c r="D76" i="2" l="1" a="1"/>
  <c r="D76" i="2" s="1"/>
  <c r="G15" i="2"/>
  <c r="C16" i="2"/>
  <c r="E76" i="2" l="1" a="1"/>
  <c r="E76" i="2" s="1"/>
  <c r="G76" i="2" s="1"/>
  <c r="C77" i="2" s="1"/>
  <c r="D16" i="2" a="1"/>
  <c r="D16" i="2" s="1"/>
  <c r="D77" i="2" l="1" a="1"/>
  <c r="D77" i="2" s="1"/>
  <c r="G16" i="2"/>
  <c r="C17" i="2"/>
  <c r="E77" i="2" l="1" a="1"/>
  <c r="E77" i="2" s="1"/>
  <c r="G77" i="2" s="1"/>
  <c r="C78" i="2" s="1"/>
  <c r="D17" i="2" a="1"/>
  <c r="D17" i="2" s="1"/>
  <c r="D78" i="2" l="1" a="1"/>
  <c r="D78" i="2" s="1"/>
  <c r="G17" i="2"/>
  <c r="C18" i="2"/>
  <c r="E78" i="2" l="1" a="1"/>
  <c r="E78" i="2" s="1"/>
  <c r="G78" i="2" s="1"/>
  <c r="C79" i="2" s="1"/>
  <c r="D18" i="2" a="1"/>
  <c r="D18" i="2" s="1"/>
  <c r="D79" i="2" l="1" a="1"/>
  <c r="D79" i="2" s="1"/>
  <c r="G18" i="2"/>
  <c r="C19" i="2"/>
  <c r="E79" i="2" l="1" a="1"/>
  <c r="E79" i="2" s="1"/>
  <c r="G79" i="2" s="1"/>
  <c r="C80" i="2" s="1"/>
  <c r="D19" i="2" a="1"/>
  <c r="D19" i="2" s="1"/>
  <c r="D80" i="2" l="1" a="1"/>
  <c r="D80" i="2" s="1"/>
  <c r="G19" i="2"/>
  <c r="C20" i="2"/>
  <c r="E80" i="2" l="1" a="1"/>
  <c r="E80" i="2" s="1"/>
  <c r="G80" i="2" s="1"/>
  <c r="C81" i="2" s="1"/>
  <c r="D20" i="2" a="1"/>
  <c r="D20" i="2" s="1"/>
  <c r="D81" i="2" l="1" a="1"/>
  <c r="D81" i="2" s="1"/>
  <c r="G20" i="2"/>
  <c r="C21" i="2"/>
  <c r="E81" i="2" l="1" a="1"/>
  <c r="E81" i="2" s="1"/>
  <c r="G81" i="2" s="1"/>
  <c r="C82" i="2" s="1"/>
  <c r="D21" i="2" a="1"/>
  <c r="D21" i="2" s="1"/>
  <c r="D82" i="2" l="1" a="1"/>
  <c r="D82" i="2" s="1"/>
  <c r="G21" i="2"/>
  <c r="C22" i="2"/>
  <c r="E82" i="2" l="1" a="1"/>
  <c r="E82" i="2" s="1"/>
  <c r="G82" i="2" s="1"/>
  <c r="C83" i="2" s="1"/>
  <c r="D22" i="2" a="1"/>
  <c r="D22" i="2" s="1"/>
  <c r="D83" i="2" l="1" a="1"/>
  <c r="D83" i="2" s="1"/>
  <c r="G22" i="2"/>
  <c r="C23" i="2"/>
  <c r="E83" i="2" l="1" a="1"/>
  <c r="E83" i="2" s="1"/>
  <c r="G83" i="2" s="1"/>
  <c r="C84" i="2" s="1"/>
  <c r="D23" i="2" a="1"/>
  <c r="D23" i="2" s="1"/>
  <c r="D84" i="2" l="1" a="1"/>
  <c r="D84" i="2" s="1"/>
  <c r="G23" i="2"/>
  <c r="C24" i="2"/>
  <c r="E84" i="2" l="1" a="1"/>
  <c r="E84" i="2" s="1"/>
  <c r="G84" i="2" s="1"/>
  <c r="C85" i="2" s="1"/>
  <c r="D24" i="2" a="1"/>
  <c r="D24" i="2" s="1"/>
  <c r="D85" i="2" l="1" a="1"/>
  <c r="D85" i="2" s="1"/>
  <c r="G24" i="2"/>
  <c r="C25" i="2"/>
  <c r="E85" i="2" l="1" a="1"/>
  <c r="E85" i="2" s="1"/>
  <c r="G85" i="2" s="1"/>
  <c r="C86" i="2" s="1"/>
  <c r="D25" i="2" a="1"/>
  <c r="D25" i="2" s="1"/>
  <c r="D86" i="2" l="1" a="1"/>
  <c r="D86" i="2" s="1"/>
  <c r="G25" i="2"/>
  <c r="C26" i="2"/>
  <c r="E86" i="2" l="1" a="1"/>
  <c r="E86" i="2" s="1"/>
  <c r="G86" i="2" s="1"/>
  <c r="C87" i="2" s="1"/>
  <c r="D26" i="2" a="1"/>
  <c r="D26" i="2" s="1"/>
  <c r="D87" i="2" l="1" a="1"/>
  <c r="D87" i="2" s="1"/>
  <c r="G26" i="2"/>
  <c r="C27" i="2"/>
  <c r="E87" i="2" l="1" a="1"/>
  <c r="E87" i="2" s="1"/>
  <c r="G87" i="2" s="1"/>
  <c r="C88" i="2" s="1"/>
  <c r="D27" i="2" a="1"/>
  <c r="D27" i="2" s="1"/>
  <c r="D88" i="2" l="1" a="1"/>
  <c r="D88" i="2" s="1"/>
  <c r="G27" i="2"/>
  <c r="C28" i="2"/>
  <c r="E88" i="2" l="1" a="1"/>
  <c r="E88" i="2" s="1"/>
  <c r="G88" i="2" s="1"/>
  <c r="C89" i="2" s="1"/>
  <c r="D28" i="2" a="1"/>
  <c r="D28" i="2" s="1"/>
  <c r="D89" i="2" l="1" a="1"/>
  <c r="D89" i="2" s="1"/>
  <c r="G28" i="2"/>
  <c r="C29" i="2"/>
  <c r="E89" i="2" l="1" a="1"/>
  <c r="E89" i="2" s="1"/>
  <c r="G89" i="2" s="1"/>
  <c r="C90" i="2" s="1"/>
  <c r="D29" i="2" a="1"/>
  <c r="D29" i="2" s="1"/>
  <c r="D90" i="2" l="1" a="1"/>
  <c r="D90" i="2" s="1"/>
  <c r="G29" i="2"/>
  <c r="C30" i="2"/>
  <c r="E90" i="2" l="1" a="1"/>
  <c r="E90" i="2" s="1"/>
  <c r="G90" i="2" s="1"/>
  <c r="C91" i="2" s="1"/>
  <c r="D30" i="2" a="1"/>
  <c r="D30" i="2" s="1"/>
  <c r="D91" i="2" l="1" a="1"/>
  <c r="D91" i="2" s="1"/>
  <c r="G30" i="2"/>
  <c r="C31" i="2"/>
  <c r="E91" i="2" l="1" a="1"/>
  <c r="E91" i="2" s="1"/>
  <c r="G91" i="2" s="1"/>
  <c r="C92" i="2" s="1"/>
  <c r="D31" i="2" a="1"/>
  <c r="D31" i="2" s="1"/>
  <c r="D92" i="2" l="1" a="1"/>
  <c r="D92" i="2" s="1"/>
  <c r="G31" i="2"/>
  <c r="C32" i="2"/>
  <c r="E92" i="2" l="1" a="1"/>
  <c r="E92" i="2" s="1"/>
  <c r="G92" i="2" s="1"/>
  <c r="C93" i="2" s="1"/>
  <c r="D32" i="2" a="1"/>
  <c r="D32" i="2" s="1"/>
  <c r="D93" i="2" l="1" a="1"/>
  <c r="D93" i="2" s="1"/>
  <c r="G32" i="2"/>
  <c r="C33" i="2"/>
  <c r="E93" i="2" l="1" a="1"/>
  <c r="E93" i="2" s="1"/>
  <c r="G93" i="2" s="1"/>
  <c r="C94" i="2" s="1"/>
  <c r="D33" i="2" a="1"/>
  <c r="D33" i="2" s="1"/>
  <c r="D94" i="2" l="1" a="1"/>
  <c r="D94" i="2" s="1"/>
  <c r="G33" i="2"/>
  <c r="C34" i="2"/>
  <c r="E94" i="2" l="1" a="1"/>
  <c r="E94" i="2" s="1"/>
  <c r="G94" i="2" s="1"/>
  <c r="C95" i="2" s="1"/>
  <c r="D34" i="2" a="1"/>
  <c r="D34" i="2" s="1"/>
  <c r="D95" i="2" l="1" a="1"/>
  <c r="D95" i="2" s="1"/>
  <c r="G34" i="2"/>
  <c r="C35" i="2"/>
  <c r="E95" i="2" l="1" a="1"/>
  <c r="E95" i="2" s="1"/>
  <c r="G95" i="2" s="1"/>
  <c r="C96" i="2" s="1"/>
  <c r="D35" i="2" a="1"/>
  <c r="D35" i="2" s="1"/>
  <c r="D96" i="2" l="1" a="1"/>
  <c r="D96" i="2" s="1"/>
  <c r="G35" i="2"/>
  <c r="C36" i="2"/>
  <c r="E96" i="2" l="1" a="1"/>
  <c r="E96" i="2" s="1"/>
  <c r="G96" i="2" s="1"/>
  <c r="C97" i="2" s="1"/>
  <c r="D36" i="2" a="1"/>
  <c r="D36" i="2" s="1"/>
  <c r="D97" i="2" l="1" a="1"/>
  <c r="D97" i="2" s="1"/>
  <c r="G36" i="2"/>
  <c r="C37" i="2"/>
  <c r="E97" i="2" l="1" a="1"/>
  <c r="E97" i="2" s="1"/>
  <c r="G97" i="2" s="1"/>
  <c r="C98" i="2" s="1"/>
  <c r="D37" i="2" a="1"/>
  <c r="D37" i="2" s="1"/>
  <c r="D98" i="2" l="1" a="1"/>
  <c r="D98" i="2" s="1"/>
  <c r="G37" i="2"/>
  <c r="C38" i="2"/>
  <c r="E98" i="2" l="1" a="1"/>
  <c r="E98" i="2" s="1"/>
  <c r="G98" i="2" s="1"/>
  <c r="C99" i="2" s="1"/>
  <c r="D38" i="2" a="1"/>
  <c r="D38" i="2" s="1"/>
  <c r="D99" i="2" l="1" a="1"/>
  <c r="D99" i="2" s="1"/>
  <c r="G38" i="2"/>
  <c r="C39" i="2"/>
  <c r="E99" i="2" l="1" a="1"/>
  <c r="E99" i="2" s="1"/>
  <c r="G99" i="2" s="1"/>
  <c r="C100" i="2" s="1"/>
  <c r="D39" i="2" a="1"/>
  <c r="D39" i="2" s="1"/>
  <c r="D100" i="2" l="1" a="1"/>
  <c r="D100" i="2" s="1"/>
  <c r="G39" i="2"/>
  <c r="C40" i="2"/>
  <c r="E100" i="2" l="1" a="1"/>
  <c r="E100" i="2" s="1"/>
  <c r="G100" i="2" s="1"/>
  <c r="C101" i="2" s="1"/>
  <c r="D40" i="2" a="1"/>
  <c r="D40" i="2" s="1"/>
  <c r="D101" i="2" l="1" a="1"/>
  <c r="D101" i="2" s="1"/>
  <c r="G40" i="2"/>
  <c r="C41" i="2"/>
  <c r="E101" i="2" l="1" a="1"/>
  <c r="E101" i="2" s="1"/>
  <c r="G101" i="2" s="1"/>
  <c r="C102" i="2" s="1"/>
  <c r="D41" i="2" a="1"/>
  <c r="D41" i="2" s="1"/>
  <c r="D102" i="2" l="1" a="1"/>
  <c r="D102" i="2" s="1"/>
  <c r="G41" i="2"/>
  <c r="C42" i="2"/>
  <c r="E102" i="2" l="1" a="1"/>
  <c r="E102" i="2" s="1"/>
  <c r="G102" i="2" s="1"/>
  <c r="C103" i="2" s="1"/>
  <c r="D42" i="2" a="1"/>
  <c r="D42" i="2" s="1"/>
  <c r="D103" i="2" l="1" a="1"/>
  <c r="D103" i="2" s="1"/>
  <c r="G42" i="2"/>
  <c r="C43" i="2"/>
  <c r="E103" i="2" l="1" a="1"/>
  <c r="E103" i="2" s="1"/>
  <c r="G103" i="2" s="1"/>
  <c r="C104" i="2" s="1"/>
  <c r="D43" i="2" a="1"/>
  <c r="D43" i="2" s="1"/>
  <c r="D104" i="2" l="1" a="1"/>
  <c r="D104" i="2" s="1"/>
  <c r="G43" i="2"/>
  <c r="C44" i="2"/>
  <c r="E104" i="2" l="1" a="1"/>
  <c r="E104" i="2" s="1"/>
  <c r="G104" i="2" s="1"/>
  <c r="C105" i="2" s="1"/>
  <c r="D44" i="2" a="1"/>
  <c r="D44" i="2" s="1"/>
  <c r="D105" i="2" l="1" a="1"/>
  <c r="D105" i="2" s="1"/>
  <c r="G44" i="2"/>
  <c r="C45" i="2"/>
  <c r="E105" i="2" l="1" a="1"/>
  <c r="E105" i="2" s="1"/>
  <c r="G105" i="2" s="1"/>
  <c r="C106" i="2" s="1"/>
  <c r="D45" i="2" a="1"/>
  <c r="D45" i="2" s="1"/>
  <c r="D106" i="2" l="1" a="1"/>
  <c r="D106" i="2" s="1"/>
  <c r="G45" i="2"/>
  <c r="C46" i="2"/>
  <c r="E106" i="2" l="1" a="1"/>
  <c r="E106" i="2" s="1"/>
  <c r="G106" i="2" s="1"/>
  <c r="C107" i="2" s="1"/>
  <c r="D46" i="2" a="1"/>
  <c r="D46" i="2" s="1"/>
  <c r="D107" i="2" l="1" a="1"/>
  <c r="D107" i="2" s="1"/>
  <c r="G46" i="2"/>
  <c r="C47" i="2"/>
  <c r="E107" i="2" l="1" a="1"/>
  <c r="E107" i="2" s="1"/>
  <c r="G107" i="2" s="1"/>
  <c r="C108" i="2" s="1"/>
  <c r="D47" i="2" a="1"/>
  <c r="D47" i="2" s="1"/>
  <c r="D108" i="2" l="1" a="1"/>
  <c r="D108" i="2" s="1"/>
  <c r="G47" i="2"/>
  <c r="C48" i="2"/>
  <c r="E108" i="2" l="1" a="1"/>
  <c r="E108" i="2" s="1"/>
  <c r="G108" i="2" s="1"/>
  <c r="C109" i="2" s="1"/>
  <c r="D48" i="2" a="1"/>
  <c r="D48" i="2" s="1"/>
  <c r="D109" i="2" l="1" a="1"/>
  <c r="D109" i="2" s="1"/>
  <c r="G48" i="2"/>
  <c r="C49" i="2"/>
  <c r="E109" i="2" l="1" a="1"/>
  <c r="E109" i="2" s="1"/>
  <c r="G109" i="2" s="1"/>
  <c r="C110" i="2" s="1"/>
  <c r="D49" i="2" a="1"/>
  <c r="D49" i="2" s="1"/>
  <c r="D110" i="2" l="1" a="1"/>
  <c r="D110" i="2" s="1"/>
  <c r="G49" i="2"/>
  <c r="C50" i="2"/>
  <c r="E110" i="2" l="1" a="1"/>
  <c r="E110" i="2" s="1"/>
  <c r="G110" i="2" s="1"/>
  <c r="C111" i="2" s="1"/>
  <c r="D50" i="2" a="1"/>
  <c r="D50" i="2" s="1"/>
  <c r="D111" i="2" l="1" a="1"/>
  <c r="D111" i="2" s="1"/>
  <c r="G50" i="2"/>
  <c r="C51" i="2"/>
  <c r="E111" i="2" l="1" a="1"/>
  <c r="E111" i="2" s="1"/>
  <c r="G111" i="2" s="1"/>
  <c r="C112" i="2" s="1"/>
  <c r="D112" i="2" s="1" a="1"/>
  <c r="D112" i="2" s="1"/>
  <c r="E112" i="2" s="1" a="1"/>
  <c r="E112" i="2" s="1"/>
  <c r="G112" i="2" s="1"/>
  <c r="C113" i="2" s="1"/>
  <c r="D113" i="2" s="1" a="1"/>
  <c r="D113" i="2" s="1"/>
  <c r="E113" i="2" s="1" a="1"/>
  <c r="E113" i="2" s="1"/>
  <c r="G113" i="2" s="1"/>
  <c r="C114" i="2" s="1"/>
  <c r="D114" i="2" s="1" a="1"/>
  <c r="D114" i="2" s="1"/>
  <c r="E114" i="2" s="1" a="1"/>
  <c r="E114" i="2" s="1"/>
  <c r="G114" i="2" s="1"/>
  <c r="C115" i="2" s="1"/>
  <c r="D115" i="2" s="1" a="1"/>
  <c r="D115" i="2" s="1"/>
  <c r="E115" i="2" s="1" a="1"/>
  <c r="E115" i="2" s="1"/>
  <c r="G115" i="2" s="1"/>
  <c r="C116" i="2" s="1"/>
  <c r="D116" i="2" s="1" a="1"/>
  <c r="D116" i="2" s="1"/>
  <c r="E116" i="2" s="1" a="1"/>
  <c r="E116" i="2" s="1"/>
  <c r="G116" i="2" s="1"/>
  <c r="C117" i="2" s="1"/>
  <c r="D117" i="2" s="1" a="1"/>
  <c r="D117" i="2" s="1"/>
  <c r="E117" i="2" s="1" a="1"/>
  <c r="E117" i="2" s="1"/>
  <c r="G117" i="2" s="1"/>
  <c r="C118" i="2" s="1"/>
  <c r="D118" i="2" s="1" a="1"/>
  <c r="D118" i="2" s="1"/>
  <c r="E118" i="2" s="1" a="1"/>
  <c r="E118" i="2" s="1"/>
  <c r="G118" i="2" s="1"/>
  <c r="C119" i="2" s="1"/>
  <c r="D119" i="2" s="1" a="1"/>
  <c r="D119" i="2" s="1"/>
  <c r="E119" i="2" s="1" a="1"/>
  <c r="E119" i="2" s="1"/>
  <c r="G119" i="2" s="1"/>
  <c r="C120" i="2" s="1"/>
  <c r="D120" i="2" s="1" a="1"/>
  <c r="D120" i="2" s="1"/>
  <c r="E120" i="2" s="1" a="1"/>
  <c r="E120" i="2" s="1"/>
  <c r="G120" i="2" s="1"/>
  <c r="C121" i="2" s="1"/>
  <c r="D121" i="2" s="1" a="1"/>
  <c r="D121" i="2" s="1"/>
  <c r="E121" i="2" s="1" a="1"/>
  <c r="E121" i="2" s="1"/>
  <c r="G121" i="2" s="1"/>
  <c r="D51" i="2" a="1"/>
  <c r="D51" i="2" s="1"/>
  <c r="G51" i="2" l="1"/>
  <c r="C52" i="2"/>
  <c r="D52" i="2" l="1" a="1"/>
  <c r="D52" i="2" s="1"/>
  <c r="G52" i="2" l="1"/>
  <c r="C53" i="2"/>
  <c r="D53" i="2" l="1" a="1"/>
  <c r="D53" i="2" s="1"/>
  <c r="G53" i="2" l="1"/>
  <c r="C54" i="2"/>
  <c r="D54" i="2" l="1" a="1"/>
  <c r="D54" i="2" s="1"/>
  <c r="G54" i="2" l="1"/>
  <c r="C55" i="2"/>
  <c r="D55" i="2" l="1" a="1"/>
  <c r="D55" i="2" s="1"/>
  <c r="G55" i="2" l="1"/>
  <c r="C56" i="2"/>
  <c r="D56" i="2" l="1" a="1"/>
  <c r="D56" i="2" s="1"/>
  <c r="G56" i="2" l="1"/>
  <c r="C57" i="2"/>
  <c r="D57" i="2" l="1" a="1"/>
  <c r="D57" i="2" s="1"/>
  <c r="G57" i="2" l="1"/>
  <c r="C58" i="2"/>
  <c r="D58" i="2" l="1" a="1"/>
  <c r="D58" i="2" s="1"/>
  <c r="G58" i="2" l="1"/>
  <c r="C59" i="2"/>
  <c r="D59" i="2" l="1" a="1"/>
  <c r="D59" i="2" s="1"/>
  <c r="G59" i="2" l="1"/>
  <c r="C60" i="2"/>
  <c r="D60" i="2" l="1" a="1"/>
  <c r="D60" i="2" s="1"/>
  <c r="G60" i="2" l="1"/>
  <c r="C61" i="2"/>
  <c r="D61" i="2" s="1" a="1"/>
  <c r="D61" i="2" s="1"/>
  <c r="G61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<sst xmlns="http://schemas.openxmlformats.org/spreadsheetml/2006/main" count="198" uniqueCount="21">
  <si>
    <t>Indice</t>
  </si>
  <si>
    <t>Valor</t>
  </si>
  <si>
    <t>SELIC</t>
  </si>
  <si>
    <t>TR</t>
  </si>
  <si>
    <t>IGP-M</t>
  </si>
  <si>
    <t>IPCA</t>
  </si>
  <si>
    <t>CDB</t>
  </si>
  <si>
    <t>Administração_Imobiliária</t>
  </si>
  <si>
    <t>CDB  (% CDI)</t>
  </si>
  <si>
    <t>Taxa do CDI</t>
  </si>
  <si>
    <t>Valorização do Imovel</t>
  </si>
  <si>
    <t>Inicio</t>
  </si>
  <si>
    <t>Custos</t>
  </si>
  <si>
    <t>Resultado Líquido</t>
  </si>
  <si>
    <t>Receita Bruta</t>
  </si>
  <si>
    <t>Aplicacao</t>
  </si>
  <si>
    <t>Periodo</t>
  </si>
  <si>
    <t>Aluguel</t>
  </si>
  <si>
    <t>IRPF</t>
  </si>
  <si>
    <t>Poupança</t>
  </si>
  <si>
    <t>Valor Aplicado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</si>
</sst>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* #,##0.00_-;\-&quot;R$&quot;* #,##0.00_-;_-&quot;R$&quot;* &quot;-&quot;??_-;_-@_-"/>
    <numFmt numFmtId="168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168" fontId="0" fillId="0" borderId="0" xfId="1" applyNumberFormat="1" applyFont="1"/>
    <xf numFmtId="17" fontId="0" fillId="0" borderId="0" xfId="0" applyNumberFormat="1"/>
    <xf numFmtId="10" fontId="0" fillId="0" borderId="0" xfId="0" applyNumberFormat="1"/>
    <xf numFmtId="9" fontId="0" fillId="0" borderId="0" xfId="0" applyNumberFormat="1"/>
    <xf numFmtId="0" fontId="0" fillId="0" borderId="3" xfId="0" applyFont="1" applyBorder="1"/>
    <xf numFmtId="0" fontId="2" fillId="2" borderId="4" xfId="0" applyFont="1" applyFill="1" applyBorder="1"/>
    <xf numFmtId="0" fontId="2" fillId="2" borderId="5" xfId="0" applyFont="1" applyFill="1" applyBorder="1"/>
    <xf numFmtId="17" fontId="0" fillId="3" borderId="4" xfId="0" applyNumberFormat="1" applyFont="1" applyFill="1" applyBorder="1"/>
    <xf numFmtId="0" fontId="0" fillId="3" borderId="5" xfId="0" applyFont="1" applyFill="1" applyBorder="1"/>
    <xf numFmtId="17" fontId="0" fillId="0" borderId="4" xfId="0" applyNumberFormat="1" applyFont="1" applyBorder="1"/>
    <xf numFmtId="0" fontId="0" fillId="0" borderId="5" xfId="0" applyFont="1" applyBorder="1"/>
    <xf numFmtId="17" fontId="0" fillId="0" borderId="1" xfId="0" applyNumberFormat="1" applyFont="1" applyBorder="1"/>
    <xf numFmtId="44" fontId="2" fillId="2" borderId="5" xfId="0" applyNumberFormat="1" applyFont="1" applyFill="1" applyBorder="1"/>
    <xf numFmtId="44" fontId="2" fillId="2" borderId="6" xfId="0" applyNumberFormat="1" applyFont="1" applyFill="1" applyBorder="1"/>
    <xf numFmtId="44" fontId="0" fillId="3" borderId="5" xfId="0" applyNumberFormat="1" applyFont="1" applyFill="1" applyBorder="1"/>
    <xf numFmtId="44" fontId="0" fillId="3" borderId="6" xfId="0" applyNumberFormat="1" applyFont="1" applyFill="1" applyBorder="1"/>
    <xf numFmtId="44" fontId="0" fillId="0" borderId="5" xfId="0" applyNumberFormat="1" applyFont="1" applyBorder="1"/>
    <xf numFmtId="44" fontId="0" fillId="0" borderId="6" xfId="0" applyNumberFormat="1" applyFont="1" applyBorder="1"/>
    <xf numFmtId="44" fontId="0" fillId="0" borderId="3" xfId="0" applyNumberFormat="1" applyFont="1" applyBorder="1"/>
    <xf numFmtId="44" fontId="0" fillId="0" borderId="2" xfId="0" applyNumberFormat="1" applyFont="1" applyBorder="1"/>
    <xf numFmtId="44" fontId="0" fillId="0" borderId="0" xfId="0" applyNumberFormat="1"/>
  </cellXfs>
  <cellStyles count="2">
    <cellStyle name="Normal" xfId="0" builtinId="0"/>
    <cellStyle name="Porcentagem" xfId="1" builtinId="5"/>
  </cellStyles>
  <dxfs count="2">
    <dxf>
      <numFmt numFmtId="22" formatCode="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0.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2A9E89-E6B8-4E9F-87BE-DF0CA5C93B54}" name="indices" displayName="indices" ref="A1:B9" totalsRowShown="0">
  <autoFilter ref="A1:B9" xr:uid="{392A9E89-E6B8-4E9F-87BE-DF0CA5C93B54}"/>
  <tableColumns count="2">
    <tableColumn id="1" xr3:uid="{55650320-7733-4002-AB75-789970FBD0CF}" name="Indice"/>
    <tableColumn id="2" xr3:uid="{12C8334F-7CF3-4D30-A051-FD108110456D}" name="Valor" dataDxfId="1" dataCellStyle="Porcentage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11C488-8FB6-4567-8498-3B95C46D02CB}" name="Tabela2" displayName="Tabela2" ref="D1:D2" totalsRowShown="0">
  <autoFilter ref="D1:D2" xr:uid="{FC11C488-8FB6-4567-8498-3B95C46D02CB}"/>
  <tableColumns count="1">
    <tableColumn id="1" xr3:uid="{DF152FFF-6287-48B1-85F1-5868858FF4A0}" name="Inici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F9"/>
  <sheetViews>
    <sheetView workbookViewId="0">
      <selection activeCell="B7" sqref="B7"/>
    </sheetView>
  </sheetViews>
  <sheetFormatPr defaultRowHeight="15" x14ac:dyDescent="0.25"/>
  <cols>
    <col min="1" max="1" width="24.7109375" bestFit="1" customWidth="1"/>
    <col min="7" max="7" width="10.7109375" customWidth="1"/>
  </cols>
  <sheetData>
    <row r="1" spans="1:6" x14ac:dyDescent="0.25">
      <c r="A1" t="s">
        <v>0</v>
      </c>
      <c r="B1" t="s">
        <v>1</v>
      </c>
      <c r="D1" t="s">
        <v>11</v>
      </c>
    </row>
    <row r="2" spans="1:6" x14ac:dyDescent="0.25">
      <c r="A2" t="s">
        <v>2</v>
      </c>
      <c r="B2" s="1">
        <v>0.14749999999999999</v>
      </c>
      <c r="D2" s="2">
        <v>46143</v>
      </c>
    </row>
    <row r="3" spans="1:6" x14ac:dyDescent="0.25">
      <c r="A3" t="s">
        <v>3</v>
      </c>
      <c r="B3" s="1">
        <v>2.0299999999999999E-2</v>
      </c>
      <c r="F3" s="3"/>
    </row>
    <row r="4" spans="1:6" x14ac:dyDescent="0.25">
      <c r="A4" t="s">
        <v>9</v>
      </c>
      <c r="B4" s="1">
        <v>0.14649999999999999</v>
      </c>
      <c r="F4" s="4"/>
    </row>
    <row r="5" spans="1:6" x14ac:dyDescent="0.25">
      <c r="A5" t="s">
        <v>4</v>
      </c>
      <c r="B5" s="1">
        <v>3.6400000000000002E-2</v>
      </c>
      <c r="F5" s="3"/>
    </row>
    <row r="6" spans="1:6" x14ac:dyDescent="0.25">
      <c r="A6" t="s">
        <v>5</v>
      </c>
      <c r="B6" s="1">
        <v>4.1000000000000002E-2</v>
      </c>
      <c r="F6" s="3"/>
    </row>
    <row r="7" spans="1:6" x14ac:dyDescent="0.25">
      <c r="A7" t="s">
        <v>8</v>
      </c>
      <c r="B7" s="1">
        <v>1.05</v>
      </c>
    </row>
    <row r="8" spans="1:6" x14ac:dyDescent="0.25">
      <c r="A8" t="s">
        <v>7</v>
      </c>
      <c r="B8" s="1">
        <v>0.1</v>
      </c>
    </row>
    <row r="9" spans="1:6" x14ac:dyDescent="0.25">
      <c r="A9" t="s">
        <v>10</v>
      </c>
      <c r="B9" s="1">
        <v>4.1000000000000002E-2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BD6B0-313E-41CB-9479-DFFC8829474D}">
  <sheetPr codeName="Planilha2"/>
  <dimension ref="A1:G181"/>
  <sheetViews>
    <sheetView tabSelected="1" topLeftCell="A101" workbookViewId="0">
      <selection activeCell="K112" sqref="K112"/>
    </sheetView>
  </sheetViews>
  <sheetFormatPr defaultRowHeight="15" x14ac:dyDescent="0.25"/>
  <cols>
    <col min="1" max="2" width="11.5703125" customWidth="1"/>
    <col min="3" max="3" width="14" style="21" bestFit="1" customWidth="1"/>
    <col min="4" max="5" width="14.85546875" style="21" customWidth="1"/>
    <col min="6" max="6" width="10.140625" style="21" bestFit="1" customWidth="1"/>
    <col min="7" max="7" width="19" style="21" customWidth="1"/>
  </cols>
  <sheetData>
    <row r="1" spans="1:7" x14ac:dyDescent="0.25">
      <c r="A1" s="6" t="s">
        <v>16</v>
      </c>
      <c r="B1" s="7" t="s">
        <v>15</v>
      </c>
      <c r="C1" s="13" t="s">
        <v>20</v>
      </c>
      <c r="D1" s="13" t="s">
        <v>14</v>
      </c>
      <c r="E1" s="13" t="s">
        <v>18</v>
      </c>
      <c r="F1" s="13" t="s">
        <v>12</v>
      </c>
      <c r="G1" s="14" t="s">
        <v>13</v>
      </c>
    </row>
    <row r="2" spans="1:7" x14ac:dyDescent="0.25">
      <c r="A2" s="8">
        <v>46143</v>
      </c>
      <c r="B2" s="9" t="s">
        <v>19</v>
      </c>
      <c r="C2" s="15">
        <v>100000</v>
      </c>
      <c r="D2" s="15" cm="1">
        <f t="array" ref="D2">rendimento_poupança(C2,selic,TR)</f>
        <v>669.16666666666674</v>
      </c>
      <c r="E2" s="15">
        <v>0</v>
      </c>
      <c r="F2" s="15">
        <v>0</v>
      </c>
      <c r="G2" s="16">
        <f>D2-E2-F2</f>
        <v>669.16666666666674</v>
      </c>
    </row>
    <row r="3" spans="1:7" x14ac:dyDescent="0.25">
      <c r="A3" s="10">
        <v>46174</v>
      </c>
      <c r="B3" s="11" t="s">
        <v>19</v>
      </c>
      <c r="C3" s="17">
        <f>C2+D2</f>
        <v>100669.16666666667</v>
      </c>
      <c r="D3" s="17" cm="1">
        <f t="array" ref="D3">rendimento_poupança(C3,selic,TR)</f>
        <v>673.64450716750002</v>
      </c>
      <c r="E3" s="17">
        <v>0</v>
      </c>
      <c r="F3" s="17">
        <v>0</v>
      </c>
      <c r="G3" s="18">
        <f>D3-E3-F3</f>
        <v>673.64450716750002</v>
      </c>
    </row>
    <row r="4" spans="1:7" x14ac:dyDescent="0.25">
      <c r="A4" s="8">
        <v>46204</v>
      </c>
      <c r="B4" s="9" t="s">
        <v>19</v>
      </c>
      <c r="C4" s="15">
        <f t="shared" ref="C4:C61" si="0">C3+D3</f>
        <v>101342.81117383417</v>
      </c>
      <c r="D4" s="15" cm="1">
        <f t="array" ref="D4">rendimento_poupança(C4,selic,TR)</f>
        <v>678.15231161333338</v>
      </c>
      <c r="E4" s="15">
        <v>0</v>
      </c>
      <c r="F4" s="15">
        <v>0</v>
      </c>
      <c r="G4" s="16">
        <f t="shared" ref="G4:G62" si="1">D4-E4-F4</f>
        <v>678.15231161333338</v>
      </c>
    </row>
    <row r="5" spans="1:7" x14ac:dyDescent="0.25">
      <c r="A5" s="10">
        <v>46235</v>
      </c>
      <c r="B5" s="11" t="s">
        <v>19</v>
      </c>
      <c r="C5" s="17">
        <f t="shared" si="0"/>
        <v>102020.9634854475</v>
      </c>
      <c r="D5" s="17" cm="1">
        <f t="array" ref="D5">rendimento_poupança(C5,selic,TR)</f>
        <v>682.69028075416668</v>
      </c>
      <c r="E5" s="17">
        <v>0</v>
      </c>
      <c r="F5" s="17">
        <v>0</v>
      </c>
      <c r="G5" s="18">
        <f t="shared" si="1"/>
        <v>682.69028075416668</v>
      </c>
    </row>
    <row r="6" spans="1:7" x14ac:dyDescent="0.25">
      <c r="A6" s="8">
        <v>46266</v>
      </c>
      <c r="B6" s="9" t="s">
        <v>19</v>
      </c>
      <c r="C6" s="15">
        <f t="shared" si="0"/>
        <v>102703.65376620166</v>
      </c>
      <c r="D6" s="15" cm="1">
        <f t="array" ref="D6">rendimento_poupança(C6,selic,TR)</f>
        <v>687.2586166783334</v>
      </c>
      <c r="E6" s="15">
        <v>0</v>
      </c>
      <c r="F6" s="15">
        <v>0</v>
      </c>
      <c r="G6" s="16">
        <f t="shared" si="1"/>
        <v>687.2586166783334</v>
      </c>
    </row>
    <row r="7" spans="1:7" x14ac:dyDescent="0.25">
      <c r="A7" s="10">
        <v>46296</v>
      </c>
      <c r="B7" s="11" t="s">
        <v>19</v>
      </c>
      <c r="C7" s="17">
        <f t="shared" si="0"/>
        <v>103390.91238287999</v>
      </c>
      <c r="D7" s="17" cm="1">
        <f t="array" ref="D7">rendimento_poupança(C7,selic,TR)</f>
        <v>691.85752214333331</v>
      </c>
      <c r="E7" s="17">
        <v>0</v>
      </c>
      <c r="F7" s="17">
        <v>0</v>
      </c>
      <c r="G7" s="18">
        <f t="shared" si="1"/>
        <v>691.85752214333331</v>
      </c>
    </row>
    <row r="8" spans="1:7" x14ac:dyDescent="0.25">
      <c r="A8" s="8">
        <v>46327</v>
      </c>
      <c r="B8" s="9" t="s">
        <v>19</v>
      </c>
      <c r="C8" s="15">
        <f t="shared" si="0"/>
        <v>104082.76990502332</v>
      </c>
      <c r="D8" s="15" cm="1">
        <f t="array" ref="D8">rendimento_poupança(C8,selic,TR)</f>
        <v>696.48720191416669</v>
      </c>
      <c r="E8" s="15">
        <v>0</v>
      </c>
      <c r="F8" s="15">
        <v>0</v>
      </c>
      <c r="G8" s="16">
        <f t="shared" si="1"/>
        <v>696.48720191416669</v>
      </c>
    </row>
    <row r="9" spans="1:7" x14ac:dyDescent="0.25">
      <c r="A9" s="10">
        <v>46357</v>
      </c>
      <c r="B9" s="11" t="s">
        <v>19</v>
      </c>
      <c r="C9" s="17">
        <f t="shared" si="0"/>
        <v>104779.25710693748</v>
      </c>
      <c r="D9" s="17" cm="1">
        <f t="array" ref="D9">rendimento_poupança(C9,selic,TR)</f>
        <v>701.14786209416673</v>
      </c>
      <c r="E9" s="17">
        <v>0</v>
      </c>
      <c r="F9" s="17">
        <v>0</v>
      </c>
      <c r="G9" s="18">
        <f t="shared" si="1"/>
        <v>701.14786209416673</v>
      </c>
    </row>
    <row r="10" spans="1:7" x14ac:dyDescent="0.25">
      <c r="A10" s="8">
        <v>46388</v>
      </c>
      <c r="B10" s="9" t="s">
        <v>19</v>
      </c>
      <c r="C10" s="15">
        <f t="shared" si="0"/>
        <v>105480.40496903165</v>
      </c>
      <c r="D10" s="15" cm="1">
        <f t="array" ref="D10">rendimento_poupança(C10,selic,TR)</f>
        <v>705.83971012500001</v>
      </c>
      <c r="E10" s="15">
        <v>0</v>
      </c>
      <c r="F10" s="15">
        <v>0</v>
      </c>
      <c r="G10" s="16">
        <f t="shared" si="1"/>
        <v>705.83971012500001</v>
      </c>
    </row>
    <row r="11" spans="1:7" x14ac:dyDescent="0.25">
      <c r="A11" s="10">
        <v>46419</v>
      </c>
      <c r="B11" s="11" t="s">
        <v>19</v>
      </c>
      <c r="C11" s="17">
        <f t="shared" si="0"/>
        <v>106186.24467915665</v>
      </c>
      <c r="D11" s="17" cm="1">
        <f t="array" ref="D11">rendimento_poupança(C11,selic,TR)</f>
        <v>710.5629541175</v>
      </c>
      <c r="E11" s="17">
        <v>0</v>
      </c>
      <c r="F11" s="17">
        <v>0</v>
      </c>
      <c r="G11" s="18">
        <f t="shared" si="1"/>
        <v>710.5629541175</v>
      </c>
    </row>
    <row r="12" spans="1:7" x14ac:dyDescent="0.25">
      <c r="A12" s="8">
        <v>46447</v>
      </c>
      <c r="B12" s="9" t="s">
        <v>19</v>
      </c>
      <c r="C12" s="15">
        <f t="shared" si="0"/>
        <v>106896.80763327415</v>
      </c>
      <c r="D12" s="15" cm="1">
        <f t="array" ref="D12">rendimento_poupança(C12,selic,TR)</f>
        <v>715.31780419000006</v>
      </c>
      <c r="E12" s="15">
        <v>0</v>
      </c>
      <c r="F12" s="15">
        <v>0</v>
      </c>
      <c r="G12" s="16">
        <f t="shared" si="1"/>
        <v>715.31780419000006</v>
      </c>
    </row>
    <row r="13" spans="1:7" x14ac:dyDescent="0.25">
      <c r="A13" s="10">
        <v>46478</v>
      </c>
      <c r="B13" s="11" t="s">
        <v>19</v>
      </c>
      <c r="C13" s="17">
        <f t="shared" si="0"/>
        <v>107612.12543746414</v>
      </c>
      <c r="D13" s="17" cm="1">
        <f t="array" ref="D13">rendimento_poupança(C13,selic,TR)</f>
        <v>720.10447246833337</v>
      </c>
      <c r="E13" s="17">
        <v>0</v>
      </c>
      <c r="F13" s="17">
        <v>0</v>
      </c>
      <c r="G13" s="18">
        <f t="shared" si="1"/>
        <v>720.10447246833337</v>
      </c>
    </row>
    <row r="14" spans="1:7" x14ac:dyDescent="0.25">
      <c r="A14" s="8">
        <v>46508</v>
      </c>
      <c r="B14" s="9" t="s">
        <v>19</v>
      </c>
      <c r="C14" s="15">
        <f t="shared" si="0"/>
        <v>108332.22990993247</v>
      </c>
      <c r="D14" s="15" cm="1">
        <f t="array" ref="D14">rendimento_poupança(C14,selic,TR)</f>
        <v>724.92317174750008</v>
      </c>
      <c r="E14" s="15">
        <v>0</v>
      </c>
      <c r="F14" s="15">
        <v>0</v>
      </c>
      <c r="G14" s="16">
        <f t="shared" si="1"/>
        <v>724.92317174750008</v>
      </c>
    </row>
    <row r="15" spans="1:7" x14ac:dyDescent="0.25">
      <c r="A15" s="10">
        <v>46539</v>
      </c>
      <c r="B15" s="11" t="s">
        <v>19</v>
      </c>
      <c r="C15" s="17">
        <f t="shared" si="0"/>
        <v>109057.15308167998</v>
      </c>
      <c r="D15" s="17" cm="1">
        <f t="array" ref="D15">rendimento_poupança(C15,selic,TR)</f>
        <v>729.77411616083339</v>
      </c>
      <c r="E15" s="17">
        <v>0</v>
      </c>
      <c r="F15" s="17">
        <v>0</v>
      </c>
      <c r="G15" s="18">
        <f t="shared" si="1"/>
        <v>729.77411616083339</v>
      </c>
    </row>
    <row r="16" spans="1:7" x14ac:dyDescent="0.25">
      <c r="A16" s="8">
        <v>46569</v>
      </c>
      <c r="B16" s="9" t="s">
        <v>19</v>
      </c>
      <c r="C16" s="15">
        <f t="shared" si="0"/>
        <v>109786.92719784081</v>
      </c>
      <c r="D16" s="15" cm="1">
        <f t="array" ref="D16">rendimento_poupança(C16,selic,TR)</f>
        <v>734.65752118000012</v>
      </c>
      <c r="E16" s="15">
        <v>0</v>
      </c>
      <c r="F16" s="15">
        <v>0</v>
      </c>
      <c r="G16" s="16">
        <f t="shared" si="1"/>
        <v>734.65752118000012</v>
      </c>
    </row>
    <row r="17" spans="1:7" x14ac:dyDescent="0.25">
      <c r="A17" s="10">
        <v>46600</v>
      </c>
      <c r="B17" s="11" t="s">
        <v>19</v>
      </c>
      <c r="C17" s="17">
        <f t="shared" si="0"/>
        <v>110521.5847190208</v>
      </c>
      <c r="D17" s="17" cm="1">
        <f t="array" ref="D17">rendimento_poupança(C17,selic,TR)</f>
        <v>739.57360428416678</v>
      </c>
      <c r="E17" s="17">
        <v>0</v>
      </c>
      <c r="F17" s="17">
        <v>0</v>
      </c>
      <c r="G17" s="18">
        <f t="shared" si="1"/>
        <v>739.57360428416678</v>
      </c>
    </row>
    <row r="18" spans="1:7" x14ac:dyDescent="0.25">
      <c r="A18" s="8">
        <v>46631</v>
      </c>
      <c r="B18" s="9" t="s">
        <v>19</v>
      </c>
      <c r="C18" s="15">
        <f t="shared" si="0"/>
        <v>111261.15832330496</v>
      </c>
      <c r="D18" s="15" cm="1">
        <f t="array" ref="D18">rendimento_poupança(C18,selic,TR)</f>
        <v>744.52258429083338</v>
      </c>
      <c r="E18" s="15">
        <v>0</v>
      </c>
      <c r="F18" s="15">
        <v>0</v>
      </c>
      <c r="G18" s="16">
        <f t="shared" si="1"/>
        <v>744.52258429083338</v>
      </c>
    </row>
    <row r="19" spans="1:7" x14ac:dyDescent="0.25">
      <c r="A19" s="10">
        <v>46661</v>
      </c>
      <c r="B19" s="11" t="s">
        <v>19</v>
      </c>
      <c r="C19" s="17">
        <f t="shared" si="0"/>
        <v>112005.6809075958</v>
      </c>
      <c r="D19" s="17" cm="1">
        <f t="array" ref="D19">rendimento_poupança(C19,selic,TR)</f>
        <v>749.50468135583344</v>
      </c>
      <c r="E19" s="17">
        <v>0</v>
      </c>
      <c r="F19" s="17">
        <v>0</v>
      </c>
      <c r="G19" s="18">
        <f t="shared" si="1"/>
        <v>749.50468135583344</v>
      </c>
    </row>
    <row r="20" spans="1:7" x14ac:dyDescent="0.25">
      <c r="A20" s="8">
        <v>46692</v>
      </c>
      <c r="B20" s="9" t="s">
        <v>19</v>
      </c>
      <c r="C20" s="15">
        <f t="shared" si="0"/>
        <v>112755.18558895163</v>
      </c>
      <c r="D20" s="15" cm="1">
        <f t="array" ref="D20">rendimento_poupança(C20,selic,TR)</f>
        <v>754.5201169733333</v>
      </c>
      <c r="E20" s="15">
        <v>0</v>
      </c>
      <c r="F20" s="15">
        <v>0</v>
      </c>
      <c r="G20" s="16">
        <f t="shared" si="1"/>
        <v>754.5201169733333</v>
      </c>
    </row>
    <row r="21" spans="1:7" x14ac:dyDescent="0.25">
      <c r="A21" s="10">
        <v>46722</v>
      </c>
      <c r="B21" s="11" t="s">
        <v>19</v>
      </c>
      <c r="C21" s="17">
        <f t="shared" si="0"/>
        <v>113509.70570592496</v>
      </c>
      <c r="D21" s="17" cm="1">
        <f t="array" ref="D21">rendimento_poupança(C21,selic,TR)</f>
        <v>759.56911397583337</v>
      </c>
      <c r="E21" s="17">
        <v>0</v>
      </c>
      <c r="F21" s="17">
        <v>0</v>
      </c>
      <c r="G21" s="18">
        <f t="shared" si="1"/>
        <v>759.56911397583337</v>
      </c>
    </row>
    <row r="22" spans="1:7" x14ac:dyDescent="0.25">
      <c r="A22" s="8">
        <v>46753</v>
      </c>
      <c r="B22" s="9" t="s">
        <v>19</v>
      </c>
      <c r="C22" s="15">
        <f t="shared" si="0"/>
        <v>114269.27481990079</v>
      </c>
      <c r="D22" s="15" cm="1">
        <f t="array" ref="D22">rendimento_poupança(C22,selic,TR)</f>
        <v>764.65189720333331</v>
      </c>
      <c r="E22" s="15">
        <v>0</v>
      </c>
      <c r="F22" s="15">
        <v>0</v>
      </c>
      <c r="G22" s="16">
        <f t="shared" si="1"/>
        <v>764.65189720333331</v>
      </c>
    </row>
    <row r="23" spans="1:7" x14ac:dyDescent="0.25">
      <c r="A23" s="10">
        <v>46784</v>
      </c>
      <c r="B23" s="11" t="s">
        <v>19</v>
      </c>
      <c r="C23" s="17">
        <f t="shared" si="0"/>
        <v>115033.92671710413</v>
      </c>
      <c r="D23" s="17" cm="1">
        <f t="array" ref="D23">rendimento_poupança(C23,selic,TR)</f>
        <v>769.7686928341667</v>
      </c>
      <c r="E23" s="17">
        <v>0</v>
      </c>
      <c r="F23" s="17">
        <v>0</v>
      </c>
      <c r="G23" s="18">
        <f t="shared" si="1"/>
        <v>769.7686928341667</v>
      </c>
    </row>
    <row r="24" spans="1:7" x14ac:dyDescent="0.25">
      <c r="A24" s="8">
        <v>46813</v>
      </c>
      <c r="B24" s="9" t="s">
        <v>19</v>
      </c>
      <c r="C24" s="15">
        <f t="shared" si="0"/>
        <v>115803.6954099383</v>
      </c>
      <c r="D24" s="15" cm="1">
        <f t="array" ref="D24">rendimento_poupança(C24,selic,TR)</f>
        <v>774.91972838499998</v>
      </c>
      <c r="E24" s="15">
        <v>0</v>
      </c>
      <c r="F24" s="15">
        <v>0</v>
      </c>
      <c r="G24" s="16">
        <f t="shared" si="1"/>
        <v>774.91972838499998</v>
      </c>
    </row>
    <row r="25" spans="1:7" x14ac:dyDescent="0.25">
      <c r="A25" s="10">
        <v>46844</v>
      </c>
      <c r="B25" s="11" t="s">
        <v>19</v>
      </c>
      <c r="C25" s="17">
        <f t="shared" si="0"/>
        <v>116578.61513832329</v>
      </c>
      <c r="D25" s="17" cm="1">
        <f t="array" ref="D25">rendimento_poupança(C25,selic,TR)</f>
        <v>780.10523271083332</v>
      </c>
      <c r="E25" s="17">
        <v>0</v>
      </c>
      <c r="F25" s="17">
        <v>0</v>
      </c>
      <c r="G25" s="18">
        <f t="shared" si="1"/>
        <v>780.10523271083332</v>
      </c>
    </row>
    <row r="26" spans="1:7" x14ac:dyDescent="0.25">
      <c r="A26" s="8">
        <v>46874</v>
      </c>
      <c r="B26" s="9" t="s">
        <v>19</v>
      </c>
      <c r="C26" s="15">
        <f t="shared" si="0"/>
        <v>117358.72037103413</v>
      </c>
      <c r="D26" s="15" cm="1">
        <f t="array" ref="D26">rendimento_poupança(C26,selic,TR)</f>
        <v>785.32543734333342</v>
      </c>
      <c r="E26" s="15">
        <v>0</v>
      </c>
      <c r="F26" s="15">
        <v>0</v>
      </c>
      <c r="G26" s="16">
        <f t="shared" si="1"/>
        <v>785.32543734333342</v>
      </c>
    </row>
    <row r="27" spans="1:7" x14ac:dyDescent="0.25">
      <c r="A27" s="10">
        <v>46905</v>
      </c>
      <c r="B27" s="11" t="s">
        <v>19</v>
      </c>
      <c r="C27" s="17">
        <f t="shared" si="0"/>
        <v>118144.04580837746</v>
      </c>
      <c r="D27" s="17" cm="1">
        <f t="array" ref="D27">rendimento_poupança(C27,selic,TR)</f>
        <v>790.58057314500013</v>
      </c>
      <c r="E27" s="17">
        <v>0</v>
      </c>
      <c r="F27" s="17">
        <v>0</v>
      </c>
      <c r="G27" s="18">
        <f t="shared" si="1"/>
        <v>790.58057314500013</v>
      </c>
    </row>
    <row r="28" spans="1:7" x14ac:dyDescent="0.25">
      <c r="A28" s="8">
        <v>46935</v>
      </c>
      <c r="B28" s="9" t="s">
        <v>19</v>
      </c>
      <c r="C28" s="15">
        <f t="shared" si="0"/>
        <v>118934.62638152245</v>
      </c>
      <c r="D28" s="15" cm="1">
        <f t="array" ref="D28">rendimento_poupança(C28,selic,TR)</f>
        <v>795.87087499333336</v>
      </c>
      <c r="E28" s="15">
        <v>0</v>
      </c>
      <c r="F28" s="15">
        <v>0</v>
      </c>
      <c r="G28" s="16">
        <f t="shared" si="1"/>
        <v>795.87087499333336</v>
      </c>
    </row>
    <row r="29" spans="1:7" x14ac:dyDescent="0.25">
      <c r="A29" s="10">
        <v>46966</v>
      </c>
      <c r="B29" s="11" t="s">
        <v>19</v>
      </c>
      <c r="C29" s="17">
        <f t="shared" si="0"/>
        <v>119730.49725651578</v>
      </c>
      <c r="D29" s="17" cm="1">
        <f t="array" ref="D29">rendimento_poupança(C29,selic,TR)</f>
        <v>801.19657776583335</v>
      </c>
      <c r="E29" s="17">
        <v>0</v>
      </c>
      <c r="F29" s="17">
        <v>0</v>
      </c>
      <c r="G29" s="18">
        <f t="shared" si="1"/>
        <v>801.19657776583335</v>
      </c>
    </row>
    <row r="30" spans="1:7" x14ac:dyDescent="0.25">
      <c r="A30" s="8">
        <v>46997</v>
      </c>
      <c r="B30" s="9" t="s">
        <v>19</v>
      </c>
      <c r="C30" s="15">
        <f t="shared" si="0"/>
        <v>120531.69383428161</v>
      </c>
      <c r="D30" s="15" cm="1">
        <f t="array" ref="D30">rendimento_poupança(C30,selic,TR)</f>
        <v>806.5579176783333</v>
      </c>
      <c r="E30" s="15">
        <v>0</v>
      </c>
      <c r="F30" s="15">
        <v>0</v>
      </c>
      <c r="G30" s="16">
        <f t="shared" si="1"/>
        <v>806.5579176783333</v>
      </c>
    </row>
    <row r="31" spans="1:7" x14ac:dyDescent="0.25">
      <c r="A31" s="10">
        <v>47027</v>
      </c>
      <c r="B31" s="11" t="s">
        <v>19</v>
      </c>
      <c r="C31" s="17">
        <f t="shared" si="0"/>
        <v>121338.25175195995</v>
      </c>
      <c r="D31" s="17" cm="1">
        <f t="array" ref="D31">rendimento_poupança(C31,selic,TR)</f>
        <v>811.95513496166666</v>
      </c>
      <c r="E31" s="17">
        <v>0</v>
      </c>
      <c r="F31" s="17">
        <v>0</v>
      </c>
      <c r="G31" s="18">
        <f t="shared" si="1"/>
        <v>811.95513496166666</v>
      </c>
    </row>
    <row r="32" spans="1:7" x14ac:dyDescent="0.25">
      <c r="A32" s="8">
        <v>47058</v>
      </c>
      <c r="B32" s="9" t="s">
        <v>19</v>
      </c>
      <c r="C32" s="15">
        <f t="shared" si="0"/>
        <v>122150.20688692162</v>
      </c>
      <c r="D32" s="15" cm="1">
        <f t="array" ref="D32">rendimento_poupança(C32,selic,TR)</f>
        <v>817.38846783916676</v>
      </c>
      <c r="E32" s="15">
        <v>0</v>
      </c>
      <c r="F32" s="15">
        <v>0</v>
      </c>
      <c r="G32" s="16">
        <f t="shared" si="1"/>
        <v>817.38846783916676</v>
      </c>
    </row>
    <row r="33" spans="1:7" x14ac:dyDescent="0.25">
      <c r="A33" s="10">
        <v>47088</v>
      </c>
      <c r="B33" s="11" t="s">
        <v>19</v>
      </c>
      <c r="C33" s="17">
        <f t="shared" si="0"/>
        <v>122967.59535476078</v>
      </c>
      <c r="D33" s="17" cm="1">
        <f t="array" ref="D33">rendimento_poupança(C33,selic,TR)</f>
        <v>822.85815921833341</v>
      </c>
      <c r="E33" s="17">
        <v>0</v>
      </c>
      <c r="F33" s="17">
        <v>0</v>
      </c>
      <c r="G33" s="18">
        <f t="shared" si="1"/>
        <v>822.85815921833341</v>
      </c>
    </row>
    <row r="34" spans="1:7" x14ac:dyDescent="0.25">
      <c r="A34" s="8">
        <v>47119</v>
      </c>
      <c r="B34" s="9" t="s">
        <v>19</v>
      </c>
      <c r="C34" s="15">
        <f t="shared" si="0"/>
        <v>123790.45351397911</v>
      </c>
      <c r="D34" s="15" cm="1">
        <f t="array" ref="D34">rendimento_poupança(C34,selic,TR)</f>
        <v>828.3644513375001</v>
      </c>
      <c r="E34" s="15">
        <v>0</v>
      </c>
      <c r="F34" s="15">
        <v>0</v>
      </c>
      <c r="G34" s="16">
        <f t="shared" si="1"/>
        <v>828.3644513375001</v>
      </c>
    </row>
    <row r="35" spans="1:7" x14ac:dyDescent="0.25">
      <c r="A35" s="10">
        <v>47150</v>
      </c>
      <c r="B35" s="11" t="s">
        <v>19</v>
      </c>
      <c r="C35" s="17">
        <f t="shared" si="0"/>
        <v>124618.81796531662</v>
      </c>
      <c r="D35" s="17" cm="1">
        <f t="array" ref="D35">rendimento_poupança(C35,selic,TR)</f>
        <v>833.90759045000004</v>
      </c>
      <c r="E35" s="17">
        <v>0</v>
      </c>
      <c r="F35" s="17">
        <v>0</v>
      </c>
      <c r="G35" s="18">
        <f t="shared" si="1"/>
        <v>833.90759045000004</v>
      </c>
    </row>
    <row r="36" spans="1:7" x14ac:dyDescent="0.25">
      <c r="A36" s="8">
        <v>47178</v>
      </c>
      <c r="B36" s="9" t="s">
        <v>19</v>
      </c>
      <c r="C36" s="15">
        <f t="shared" si="0"/>
        <v>125452.72555576662</v>
      </c>
      <c r="D36" s="15" cm="1">
        <f t="array" ref="D36">rendimento_poupança(C36,selic,TR)</f>
        <v>839.48782214000005</v>
      </c>
      <c r="E36" s="15">
        <v>0</v>
      </c>
      <c r="F36" s="15">
        <v>0</v>
      </c>
      <c r="G36" s="16">
        <f t="shared" si="1"/>
        <v>839.48782214000005</v>
      </c>
    </row>
    <row r="37" spans="1:7" x14ac:dyDescent="0.25">
      <c r="A37" s="10">
        <v>47209</v>
      </c>
      <c r="B37" s="11" t="s">
        <v>19</v>
      </c>
      <c r="C37" s="17">
        <f t="shared" si="0"/>
        <v>126292.21337790662</v>
      </c>
      <c r="D37" s="17" cm="1">
        <f t="array" ref="D37">rendimento_poupança(C37,selic,TR)</f>
        <v>845.10539466833336</v>
      </c>
      <c r="E37" s="17">
        <v>0</v>
      </c>
      <c r="F37" s="17">
        <v>0</v>
      </c>
      <c r="G37" s="18">
        <f t="shared" si="1"/>
        <v>845.10539466833336</v>
      </c>
    </row>
    <row r="38" spans="1:7" x14ac:dyDescent="0.25">
      <c r="A38" s="8">
        <v>47239</v>
      </c>
      <c r="B38" s="9" t="s">
        <v>19</v>
      </c>
      <c r="C38" s="15">
        <f t="shared" si="0"/>
        <v>127137.31877257496</v>
      </c>
      <c r="D38" s="15" cm="1">
        <f t="array" ref="D38">rendimento_poupança(C38,selic,TR)</f>
        <v>850.76055830333337</v>
      </c>
      <c r="E38" s="15">
        <v>0</v>
      </c>
      <c r="F38" s="15">
        <v>0</v>
      </c>
      <c r="G38" s="16">
        <f t="shared" si="1"/>
        <v>850.76055830333337</v>
      </c>
    </row>
    <row r="39" spans="1:7" x14ac:dyDescent="0.25">
      <c r="A39" s="10">
        <v>47270</v>
      </c>
      <c r="B39" s="11" t="s">
        <v>19</v>
      </c>
      <c r="C39" s="17">
        <f t="shared" si="0"/>
        <v>127988.07933087829</v>
      </c>
      <c r="D39" s="17" cm="1">
        <f t="array" ref="D39">rendimento_poupança(C39,selic,TR)</f>
        <v>856.45356398249999</v>
      </c>
      <c r="E39" s="17">
        <v>0</v>
      </c>
      <c r="F39" s="17">
        <v>0</v>
      </c>
      <c r="G39" s="18">
        <f t="shared" si="1"/>
        <v>856.45356398249999</v>
      </c>
    </row>
    <row r="40" spans="1:7" x14ac:dyDescent="0.25">
      <c r="A40" s="8">
        <v>47300</v>
      </c>
      <c r="B40" s="9" t="s">
        <v>19</v>
      </c>
      <c r="C40" s="15">
        <f t="shared" si="0"/>
        <v>128844.53289486079</v>
      </c>
      <c r="D40" s="15" cm="1">
        <f t="array" ref="D40">rendimento_poupança(C40,selic,TR)</f>
        <v>862.18466598916677</v>
      </c>
      <c r="E40" s="15">
        <v>0</v>
      </c>
      <c r="F40" s="15">
        <v>0</v>
      </c>
      <c r="G40" s="16">
        <f t="shared" si="1"/>
        <v>862.18466598916677</v>
      </c>
    </row>
    <row r="41" spans="1:7" x14ac:dyDescent="0.25">
      <c r="A41" s="10">
        <v>47331</v>
      </c>
      <c r="B41" s="11" t="s">
        <v>19</v>
      </c>
      <c r="C41" s="17">
        <f t="shared" si="0"/>
        <v>129706.71756084995</v>
      </c>
      <c r="D41" s="17" cm="1">
        <f t="array" ref="D41">rendimento_poupança(C41,selic,TR)</f>
        <v>867.95411860666673</v>
      </c>
      <c r="E41" s="17">
        <v>0</v>
      </c>
      <c r="F41" s="17">
        <v>0</v>
      </c>
      <c r="G41" s="18">
        <f t="shared" si="1"/>
        <v>867.95411860666673</v>
      </c>
    </row>
    <row r="42" spans="1:7" x14ac:dyDescent="0.25">
      <c r="A42" s="8">
        <v>47362</v>
      </c>
      <c r="B42" s="9" t="s">
        <v>19</v>
      </c>
      <c r="C42" s="15">
        <f t="shared" si="0"/>
        <v>130574.67167945662</v>
      </c>
      <c r="D42" s="15" cm="1">
        <f t="array" ref="D42">rendimento_poupança(C42,selic,TR)</f>
        <v>873.76217812583343</v>
      </c>
      <c r="E42" s="15">
        <v>0</v>
      </c>
      <c r="F42" s="15">
        <v>0</v>
      </c>
      <c r="G42" s="16">
        <f t="shared" si="1"/>
        <v>873.76217812583343</v>
      </c>
    </row>
    <row r="43" spans="1:7" x14ac:dyDescent="0.25">
      <c r="A43" s="10">
        <v>47392</v>
      </c>
      <c r="B43" s="11" t="s">
        <v>19</v>
      </c>
      <c r="C43" s="17">
        <f t="shared" si="0"/>
        <v>131448.43385758245</v>
      </c>
      <c r="D43" s="17" cm="1">
        <f t="array" ref="D43">rendimento_poupança(C43,selic,TR)</f>
        <v>879.60910351416669</v>
      </c>
      <c r="E43" s="17">
        <v>0</v>
      </c>
      <c r="F43" s="17">
        <v>0</v>
      </c>
      <c r="G43" s="18">
        <f t="shared" si="1"/>
        <v>879.60910351416669</v>
      </c>
    </row>
    <row r="44" spans="1:7" x14ac:dyDescent="0.25">
      <c r="A44" s="8">
        <v>47423</v>
      </c>
      <c r="B44" s="9" t="s">
        <v>19</v>
      </c>
      <c r="C44" s="15">
        <f t="shared" si="0"/>
        <v>132328.04296109662</v>
      </c>
      <c r="D44" s="15" cm="1">
        <f t="array" ref="D44">rendimento_poupança(C44,selic,TR)</f>
        <v>885.49515440833341</v>
      </c>
      <c r="E44" s="15">
        <v>0</v>
      </c>
      <c r="F44" s="15">
        <v>0</v>
      </c>
      <c r="G44" s="16">
        <f t="shared" si="1"/>
        <v>885.49515440833341</v>
      </c>
    </row>
    <row r="45" spans="1:7" x14ac:dyDescent="0.25">
      <c r="A45" s="10">
        <v>47453</v>
      </c>
      <c r="B45" s="11" t="s">
        <v>19</v>
      </c>
      <c r="C45" s="17">
        <f t="shared" si="0"/>
        <v>133213.53811550495</v>
      </c>
      <c r="D45" s="17" cm="1">
        <f t="array" ref="D45">rendimento_poupança(C45,selic,TR)</f>
        <v>891.42059245250005</v>
      </c>
      <c r="E45" s="17">
        <v>0</v>
      </c>
      <c r="F45" s="17">
        <v>0</v>
      </c>
      <c r="G45" s="18">
        <f t="shared" si="1"/>
        <v>891.42059245250005</v>
      </c>
    </row>
    <row r="46" spans="1:7" x14ac:dyDescent="0.25">
      <c r="A46" s="8">
        <v>47484</v>
      </c>
      <c r="B46" s="9" t="s">
        <v>19</v>
      </c>
      <c r="C46" s="15">
        <f t="shared" si="0"/>
        <v>134104.95870795744</v>
      </c>
      <c r="D46" s="15" cm="1">
        <f t="array" ref="D46">rendimento_poupança(C46,selic,TR)</f>
        <v>897.38568196749998</v>
      </c>
      <c r="E46" s="15">
        <v>0</v>
      </c>
      <c r="F46" s="15">
        <v>0</v>
      </c>
      <c r="G46" s="16">
        <f t="shared" si="1"/>
        <v>897.38568196749998</v>
      </c>
    </row>
    <row r="47" spans="1:7" x14ac:dyDescent="0.25">
      <c r="A47" s="10">
        <v>47515</v>
      </c>
      <c r="B47" s="11" t="s">
        <v>19</v>
      </c>
      <c r="C47" s="17">
        <f t="shared" si="0"/>
        <v>135002.34438992495</v>
      </c>
      <c r="D47" s="17" cm="1">
        <f t="array" ref="D47">rendimento_poupança(C47,selic,TR)</f>
        <v>903.39068794333343</v>
      </c>
      <c r="E47" s="17">
        <v>0</v>
      </c>
      <c r="F47" s="17">
        <v>0</v>
      </c>
      <c r="G47" s="18">
        <f t="shared" si="1"/>
        <v>903.39068794333343</v>
      </c>
    </row>
    <row r="48" spans="1:7" x14ac:dyDescent="0.25">
      <c r="A48" s="8">
        <v>47543</v>
      </c>
      <c r="B48" s="9" t="s">
        <v>19</v>
      </c>
      <c r="C48" s="15">
        <f t="shared" si="0"/>
        <v>135905.73507786827</v>
      </c>
      <c r="D48" s="15" cm="1">
        <f t="array" ref="D48">rendimento_poupança(C48,selic,TR)</f>
        <v>909.43587737749999</v>
      </c>
      <c r="E48" s="15">
        <v>0</v>
      </c>
      <c r="F48" s="15">
        <v>0</v>
      </c>
      <c r="G48" s="16">
        <f t="shared" si="1"/>
        <v>909.43587737749999</v>
      </c>
    </row>
    <row r="49" spans="1:7" x14ac:dyDescent="0.25">
      <c r="A49" s="10">
        <v>47574</v>
      </c>
      <c r="B49" s="11" t="s">
        <v>19</v>
      </c>
      <c r="C49" s="17">
        <f t="shared" si="0"/>
        <v>136815.17095524576</v>
      </c>
      <c r="D49" s="17" cm="1">
        <f t="array" ref="D49">rendimento_poupança(C49,selic,TR)</f>
        <v>915.52151927500006</v>
      </c>
      <c r="E49" s="17">
        <v>0</v>
      </c>
      <c r="F49" s="17">
        <v>0</v>
      </c>
      <c r="G49" s="18">
        <f t="shared" si="1"/>
        <v>915.52151927500006</v>
      </c>
    </row>
    <row r="50" spans="1:7" x14ac:dyDescent="0.25">
      <c r="A50" s="8">
        <v>47604</v>
      </c>
      <c r="B50" s="9" t="s">
        <v>19</v>
      </c>
      <c r="C50" s="15">
        <f t="shared" si="0"/>
        <v>137730.69247452077</v>
      </c>
      <c r="D50" s="15" cm="1">
        <f t="array" ref="D50">rendimento_poupança(C50,selic,TR)</f>
        <v>921.64788397916675</v>
      </c>
      <c r="E50" s="15">
        <v>0</v>
      </c>
      <c r="F50" s="15">
        <v>0</v>
      </c>
      <c r="G50" s="16">
        <f t="shared" si="1"/>
        <v>921.64788397916675</v>
      </c>
    </row>
    <row r="51" spans="1:7" x14ac:dyDescent="0.25">
      <c r="A51" s="10">
        <v>47635</v>
      </c>
      <c r="B51" s="11" t="s">
        <v>19</v>
      </c>
      <c r="C51" s="17">
        <f t="shared" si="0"/>
        <v>138652.34035849993</v>
      </c>
      <c r="D51" s="17" cm="1">
        <f t="array" ref="D51">rendimento_poupança(C51,selic,TR)</f>
        <v>927.81524450999996</v>
      </c>
      <c r="E51" s="17">
        <v>0</v>
      </c>
      <c r="F51" s="17">
        <v>0</v>
      </c>
      <c r="G51" s="18">
        <f t="shared" si="1"/>
        <v>927.81524450999996</v>
      </c>
    </row>
    <row r="52" spans="1:7" x14ac:dyDescent="0.25">
      <c r="A52" s="8">
        <v>47665</v>
      </c>
      <c r="B52" s="9" t="s">
        <v>19</v>
      </c>
      <c r="C52" s="15">
        <f t="shared" si="0"/>
        <v>139580.15560300995</v>
      </c>
      <c r="D52" s="15" cm="1">
        <f t="array" ref="D52">rendimento_poupança(C52,selic,TR)</f>
        <v>934.02387455666667</v>
      </c>
      <c r="E52" s="15">
        <v>0</v>
      </c>
      <c r="F52" s="15">
        <v>0</v>
      </c>
      <c r="G52" s="16">
        <f t="shared" si="1"/>
        <v>934.02387455666667</v>
      </c>
    </row>
    <row r="53" spans="1:7" x14ac:dyDescent="0.25">
      <c r="A53" s="10">
        <v>47696</v>
      </c>
      <c r="B53" s="11" t="s">
        <v>19</v>
      </c>
      <c r="C53" s="17">
        <f t="shared" si="0"/>
        <v>140514.17947756662</v>
      </c>
      <c r="D53" s="17" cm="1">
        <f t="array" ref="D53">rendimento_poupança(C53,selic,TR)</f>
        <v>940.27405115416673</v>
      </c>
      <c r="E53" s="17">
        <v>0</v>
      </c>
      <c r="F53" s="17">
        <v>0</v>
      </c>
      <c r="G53" s="18">
        <f t="shared" si="1"/>
        <v>940.27405115416673</v>
      </c>
    </row>
    <row r="54" spans="1:7" x14ac:dyDescent="0.25">
      <c r="A54" s="8">
        <v>47727</v>
      </c>
      <c r="B54" s="9" t="s">
        <v>19</v>
      </c>
      <c r="C54" s="15">
        <f t="shared" si="0"/>
        <v>141454.4535287208</v>
      </c>
      <c r="D54" s="15" cm="1">
        <f t="array" ref="D54">rendimento_poupança(C54,selic,TR)</f>
        <v>946.56605133750008</v>
      </c>
      <c r="E54" s="15">
        <v>0</v>
      </c>
      <c r="F54" s="15">
        <v>0</v>
      </c>
      <c r="G54" s="16">
        <f t="shared" si="1"/>
        <v>946.56605133750008</v>
      </c>
    </row>
    <row r="55" spans="1:7" x14ac:dyDescent="0.25">
      <c r="A55" s="10">
        <v>47757</v>
      </c>
      <c r="B55" s="11" t="s">
        <v>19</v>
      </c>
      <c r="C55" s="17">
        <f t="shared" si="0"/>
        <v>142401.01958005829</v>
      </c>
      <c r="D55" s="17" cm="1">
        <f t="array" ref="D55">rendimento_poupança(C55,selic,TR)</f>
        <v>952.90015615666675</v>
      </c>
      <c r="E55" s="17">
        <v>0</v>
      </c>
      <c r="F55" s="17">
        <v>0</v>
      </c>
      <c r="G55" s="18">
        <f t="shared" si="1"/>
        <v>952.90015615666675</v>
      </c>
    </row>
    <row r="56" spans="1:7" x14ac:dyDescent="0.25">
      <c r="A56" s="8">
        <v>47788</v>
      </c>
      <c r="B56" s="9" t="s">
        <v>19</v>
      </c>
      <c r="C56" s="15">
        <f t="shared" si="0"/>
        <v>143353.91973621494</v>
      </c>
      <c r="D56" s="15" cm="1">
        <f t="array" ref="D56">rendimento_poupança(C56,selic,TR)</f>
        <v>959.27664599249999</v>
      </c>
      <c r="E56" s="15">
        <v>0</v>
      </c>
      <c r="F56" s="15">
        <v>0</v>
      </c>
      <c r="G56" s="16">
        <f t="shared" si="1"/>
        <v>959.27664599249999</v>
      </c>
    </row>
    <row r="57" spans="1:7" x14ac:dyDescent="0.25">
      <c r="A57" s="10">
        <v>47818</v>
      </c>
      <c r="B57" s="11" t="s">
        <v>19</v>
      </c>
      <c r="C57" s="17">
        <f t="shared" si="0"/>
        <v>144313.19638220745</v>
      </c>
      <c r="D57" s="17" cm="1">
        <f t="array" ref="D57">rendimento_poupança(C57,selic,TR)</f>
        <v>965.69580590999999</v>
      </c>
      <c r="E57" s="17">
        <v>0</v>
      </c>
      <c r="F57" s="17">
        <v>0</v>
      </c>
      <c r="G57" s="18">
        <f t="shared" si="1"/>
        <v>965.69580590999999</v>
      </c>
    </row>
    <row r="58" spans="1:7" x14ac:dyDescent="0.25">
      <c r="A58" s="8">
        <v>47849</v>
      </c>
      <c r="B58" s="9" t="s">
        <v>19</v>
      </c>
      <c r="C58" s="15">
        <f t="shared" si="0"/>
        <v>145278.89218811746</v>
      </c>
      <c r="D58" s="15" cm="1">
        <f t="array" ref="D58">rendimento_poupança(C58,selic,TR)</f>
        <v>972.15792030500006</v>
      </c>
      <c r="E58" s="15">
        <v>0</v>
      </c>
      <c r="F58" s="15">
        <v>0</v>
      </c>
      <c r="G58" s="16">
        <f t="shared" si="1"/>
        <v>972.15792030500006</v>
      </c>
    </row>
    <row r="59" spans="1:7" x14ac:dyDescent="0.25">
      <c r="A59" s="10">
        <v>47880</v>
      </c>
      <c r="B59" s="11" t="s">
        <v>19</v>
      </c>
      <c r="C59" s="17">
        <f t="shared" si="0"/>
        <v>146251.05010842247</v>
      </c>
      <c r="D59" s="17" cm="1">
        <f t="array" ref="D59">rendimento_poupança(C59,selic,TR)</f>
        <v>978.66327691916661</v>
      </c>
      <c r="E59" s="17">
        <v>0</v>
      </c>
      <c r="F59" s="17">
        <v>0</v>
      </c>
      <c r="G59" s="18">
        <f t="shared" si="1"/>
        <v>978.66327691916661</v>
      </c>
    </row>
    <row r="60" spans="1:7" x14ac:dyDescent="0.25">
      <c r="A60" s="8">
        <v>47908</v>
      </c>
      <c r="B60" s="9" t="s">
        <v>19</v>
      </c>
      <c r="C60" s="15">
        <f t="shared" si="0"/>
        <v>147229.71338534163</v>
      </c>
      <c r="D60" s="15" cm="1">
        <f t="array" ref="D60">rendimento_poupança(C60,selic,TR)</f>
        <v>985.21216550166673</v>
      </c>
      <c r="E60" s="15">
        <v>0</v>
      </c>
      <c r="F60" s="15">
        <v>0</v>
      </c>
      <c r="G60" s="16">
        <f t="shared" si="1"/>
        <v>985.21216550166673</v>
      </c>
    </row>
    <row r="61" spans="1:7" x14ac:dyDescent="0.25">
      <c r="A61" s="10">
        <v>47939</v>
      </c>
      <c r="B61" s="11" t="s">
        <v>19</v>
      </c>
      <c r="C61" s="17">
        <f t="shared" si="0"/>
        <v>148214.9255508433</v>
      </c>
      <c r="D61" s="17" cm="1">
        <f t="array" ref="D61">rendimento_poupança(C61,selic,TR)</f>
        <v>991.80487713999992</v>
      </c>
      <c r="E61" s="17">
        <v>0</v>
      </c>
      <c r="F61" s="17">
        <v>0</v>
      </c>
      <c r="G61" s="18">
        <f t="shared" si="1"/>
        <v>991.80487713999992</v>
      </c>
    </row>
    <row r="62" spans="1:7" x14ac:dyDescent="0.25">
      <c r="A62" s="8">
        <v>46143</v>
      </c>
      <c r="B62" s="9" t="s">
        <v>6</v>
      </c>
      <c r="C62" s="15">
        <v>100000</v>
      </c>
      <c r="D62" s="15" cm="1">
        <f t="array" ref="D62">rendimento_cdb(C62,CDI,CDB)</f>
        <v>1281.875</v>
      </c>
      <c r="E62" s="15" cm="1">
        <f t="array" ref="E62">irpf_regressiva(D62,0.15)</f>
        <v>192.28125</v>
      </c>
      <c r="F62" s="15">
        <v>0</v>
      </c>
      <c r="G62" s="16">
        <f t="shared" si="1"/>
        <v>1089.59375</v>
      </c>
    </row>
    <row r="63" spans="1:7" x14ac:dyDescent="0.25">
      <c r="A63" s="10">
        <v>46174</v>
      </c>
      <c r="B63" s="11" t="s">
        <v>6</v>
      </c>
      <c r="C63" s="17">
        <f>C62+G62</f>
        <v>101089.59375</v>
      </c>
      <c r="D63" s="17" cm="1">
        <f t="array" ref="D63">rendimento_cdb(C63,CDI,CDB)</f>
        <v>1295.84223052375</v>
      </c>
      <c r="E63" s="17" cm="1">
        <f t="array" ref="E63">irpf_regressiva(D63,0.15)</f>
        <v>194.37633</v>
      </c>
      <c r="F63" s="17">
        <v>0</v>
      </c>
      <c r="G63" s="18">
        <f t="shared" ref="G63" si="2">D63-E63-F63</f>
        <v>1101.46590052375</v>
      </c>
    </row>
    <row r="64" spans="1:7" x14ac:dyDescent="0.25">
      <c r="A64" s="8">
        <v>46204</v>
      </c>
      <c r="B64" s="9" t="s">
        <v>6</v>
      </c>
      <c r="C64" s="15">
        <f t="shared" ref="C64:C121" si="3">C63+G63</f>
        <v>102191.05965052375</v>
      </c>
      <c r="D64" s="15" cm="1">
        <f t="array" ref="D64">rendimento_cdb(C64,CDI,CDB)</f>
        <v>1309.961646529375</v>
      </c>
      <c r="E64" s="15" cm="1">
        <f t="array" ref="E64">irpf_regressiva(D64,0.15)</f>
        <v>196.49424000000002</v>
      </c>
      <c r="F64" s="15">
        <v>0</v>
      </c>
      <c r="G64" s="16">
        <f t="shared" ref="G64:G121" si="4">D64-E64-F64</f>
        <v>1113.467406529375</v>
      </c>
    </row>
    <row r="65" spans="1:7" x14ac:dyDescent="0.25">
      <c r="A65" s="10">
        <v>46235</v>
      </c>
      <c r="B65" s="11" t="s">
        <v>6</v>
      </c>
      <c r="C65" s="17">
        <f t="shared" si="3"/>
        <v>103304.52705705313</v>
      </c>
      <c r="D65" s="17" cm="1">
        <f t="array" ref="D65">rendimento_cdb(C65,CDI,CDB)</f>
        <v>1324.2349067631251</v>
      </c>
      <c r="E65" s="17" cm="1">
        <f t="array" ref="E65">irpf_regressiva(D65,0.15)</f>
        <v>198.63523499999999</v>
      </c>
      <c r="F65" s="17">
        <v>0</v>
      </c>
      <c r="G65" s="18">
        <f t="shared" si="4"/>
        <v>1125.5996717631251</v>
      </c>
    </row>
    <row r="66" spans="1:7" x14ac:dyDescent="0.25">
      <c r="A66" s="8">
        <v>46266</v>
      </c>
      <c r="B66" s="9" t="s">
        <v>6</v>
      </c>
      <c r="C66" s="15">
        <f t="shared" si="3"/>
        <v>104430.12672881625</v>
      </c>
      <c r="D66" s="15" cm="1">
        <f t="array" ref="D66">rendimento_cdb(C66,CDI,CDB)</f>
        <v>1338.663686635625</v>
      </c>
      <c r="E66" s="15" cm="1">
        <f t="array" ref="E66">irpf_regressiva(D66,0.15)</f>
        <v>200.799555</v>
      </c>
      <c r="F66" s="15">
        <v>0</v>
      </c>
      <c r="G66" s="16">
        <f t="shared" si="4"/>
        <v>1137.864131635625</v>
      </c>
    </row>
    <row r="67" spans="1:7" x14ac:dyDescent="0.25">
      <c r="A67" s="10">
        <v>46296</v>
      </c>
      <c r="B67" s="11" t="s">
        <v>6</v>
      </c>
      <c r="C67" s="17">
        <f t="shared" si="3"/>
        <v>105567.99086045187</v>
      </c>
      <c r="D67" s="17" cm="1">
        <f t="array" ref="D67">rendimento_cdb(C67,CDI,CDB)</f>
        <v>1353.2496833493751</v>
      </c>
      <c r="E67" s="17" cm="1">
        <f t="array" ref="E67">irpf_regressiva(D67,0.15)</f>
        <v>202.98745500000001</v>
      </c>
      <c r="F67" s="17">
        <v>0</v>
      </c>
      <c r="G67" s="18">
        <f t="shared" si="4"/>
        <v>1150.2622283493752</v>
      </c>
    </row>
    <row r="68" spans="1:7" x14ac:dyDescent="0.25">
      <c r="A68" s="8">
        <v>46327</v>
      </c>
      <c r="B68" s="9" t="s">
        <v>6</v>
      </c>
      <c r="C68" s="15">
        <f t="shared" si="3"/>
        <v>106718.25308880124</v>
      </c>
      <c r="D68" s="15" cm="1">
        <f t="array" ref="D68">rendimento_cdb(C68,CDI,CDB)</f>
        <v>1367.994606925625</v>
      </c>
      <c r="E68" s="15" cm="1">
        <f t="array" ref="E68">irpf_regressiva(D68,0.15)</f>
        <v>205.19918999999999</v>
      </c>
      <c r="F68" s="15">
        <v>0</v>
      </c>
      <c r="G68" s="16">
        <f t="shared" si="4"/>
        <v>1162.795416925625</v>
      </c>
    </row>
    <row r="69" spans="1:7" x14ac:dyDescent="0.25">
      <c r="A69" s="10">
        <v>46357</v>
      </c>
      <c r="B69" s="11" t="s">
        <v>6</v>
      </c>
      <c r="C69" s="17">
        <f t="shared" si="3"/>
        <v>107881.04850572687</v>
      </c>
      <c r="D69" s="17" cm="1">
        <f t="array" ref="D69">rendimento_cdb(C69,CDI,CDB)</f>
        <v>1382.9001904593752</v>
      </c>
      <c r="E69" s="17" cm="1">
        <f t="array" ref="E69">irpf_regressiva(D69,0.15)</f>
        <v>207.43503000000001</v>
      </c>
      <c r="F69" s="17">
        <v>0</v>
      </c>
      <c r="G69" s="18">
        <f t="shared" si="4"/>
        <v>1175.4651604593751</v>
      </c>
    </row>
    <row r="70" spans="1:7" x14ac:dyDescent="0.25">
      <c r="A70" s="8">
        <v>46388</v>
      </c>
      <c r="B70" s="9" t="s">
        <v>6</v>
      </c>
      <c r="C70" s="15">
        <f t="shared" si="3"/>
        <v>109056.51366618625</v>
      </c>
      <c r="D70" s="15" cm="1">
        <f t="array" ref="D70">rendimento_cdb(C70,CDI,CDB)</f>
        <v>1397.968184991875</v>
      </c>
      <c r="E70" s="15" cm="1">
        <f t="array" ref="E70">irpf_regressiva(D70,0.15)</f>
        <v>209.69523000000001</v>
      </c>
      <c r="F70" s="15">
        <v>0</v>
      </c>
      <c r="G70" s="16">
        <f t="shared" si="4"/>
        <v>1188.2729549918749</v>
      </c>
    </row>
    <row r="71" spans="1:7" x14ac:dyDescent="0.25">
      <c r="A71" s="10">
        <v>46419</v>
      </c>
      <c r="B71" s="11" t="s">
        <v>6</v>
      </c>
      <c r="C71" s="17">
        <f t="shared" si="3"/>
        <v>110244.78662117812</v>
      </c>
      <c r="D71" s="17" cm="1">
        <f t="array" ref="D71">rendimento_cdb(C71,CDI,CDB)</f>
        <v>1413.20035822875</v>
      </c>
      <c r="E71" s="17" cm="1">
        <f t="array" ref="E71">irpf_regressiva(D71,0.15)</f>
        <v>211.98005999999998</v>
      </c>
      <c r="F71" s="17">
        <v>0</v>
      </c>
      <c r="G71" s="18">
        <f t="shared" si="4"/>
        <v>1201.2202982287499</v>
      </c>
    </row>
    <row r="72" spans="1:7" x14ac:dyDescent="0.25">
      <c r="A72" s="8">
        <v>46447</v>
      </c>
      <c r="B72" s="9" t="s">
        <v>6</v>
      </c>
      <c r="C72" s="15">
        <f t="shared" si="3"/>
        <v>111446.00691940688</v>
      </c>
      <c r="D72" s="15" cm="1">
        <f t="array" ref="D72">rendimento_cdb(C72,CDI,CDB)</f>
        <v>1428.598500949375</v>
      </c>
      <c r="E72" s="15" cm="1">
        <f t="array" ref="E72">irpf_regressiva(D72,0.15)</f>
        <v>214.28977499999999</v>
      </c>
      <c r="F72" s="15">
        <v>0</v>
      </c>
      <c r="G72" s="16">
        <f t="shared" si="4"/>
        <v>1214.308725949375</v>
      </c>
    </row>
    <row r="73" spans="1:7" x14ac:dyDescent="0.25">
      <c r="A73" s="10">
        <v>46478</v>
      </c>
      <c r="B73" s="11" t="s">
        <v>6</v>
      </c>
      <c r="C73" s="17">
        <f t="shared" si="3"/>
        <v>112660.31564535626</v>
      </c>
      <c r="D73" s="17" cm="1">
        <f t="array" ref="D73">rendimento_cdb(C73,CDI,CDB)</f>
        <v>1444.1644205975001</v>
      </c>
      <c r="E73" s="17" cm="1">
        <f t="array" ref="E73">irpf_regressiva(D73,0.15)</f>
        <v>216.62465999999998</v>
      </c>
      <c r="F73" s="17">
        <v>0</v>
      </c>
      <c r="G73" s="18">
        <f t="shared" si="4"/>
        <v>1227.5397605975002</v>
      </c>
    </row>
    <row r="74" spans="1:7" x14ac:dyDescent="0.25">
      <c r="A74" s="8">
        <v>46508</v>
      </c>
      <c r="B74" s="9" t="s">
        <v>6</v>
      </c>
      <c r="C74" s="15">
        <f t="shared" si="3"/>
        <v>113887.85540595376</v>
      </c>
      <c r="D74" s="15" cm="1">
        <f t="array" ref="D74">rendimento_cdb(C74,CDI,CDB)</f>
        <v>1459.8999464087501</v>
      </c>
      <c r="E74" s="15" cm="1">
        <f t="array" ref="E74">irpf_regressiva(D74,0.15)</f>
        <v>218.98498499999997</v>
      </c>
      <c r="F74" s="15">
        <v>0</v>
      </c>
      <c r="G74" s="16">
        <f t="shared" si="4"/>
        <v>1240.9149614087501</v>
      </c>
    </row>
    <row r="75" spans="1:7" x14ac:dyDescent="0.25">
      <c r="A75" s="10">
        <v>46539</v>
      </c>
      <c r="B75" s="11" t="s">
        <v>6</v>
      </c>
      <c r="C75" s="17">
        <f t="shared" si="3"/>
        <v>115128.77036736251</v>
      </c>
      <c r="D75" s="17" cm="1">
        <f t="array" ref="D75">rendimento_cdb(C75,CDI,CDB)</f>
        <v>1475.806925565</v>
      </c>
      <c r="E75" s="17" cm="1">
        <f t="array" ref="E75">irpf_regressiva(D75,0.15)</f>
        <v>221.37103500000001</v>
      </c>
      <c r="F75" s="17">
        <v>0</v>
      </c>
      <c r="G75" s="18">
        <f t="shared" si="4"/>
        <v>1254.4358905650001</v>
      </c>
    </row>
    <row r="76" spans="1:7" x14ac:dyDescent="0.25">
      <c r="A76" s="8">
        <v>46569</v>
      </c>
      <c r="B76" s="9" t="s">
        <v>6</v>
      </c>
      <c r="C76" s="15">
        <f t="shared" si="3"/>
        <v>116383.20625792751</v>
      </c>
      <c r="D76" s="15" cm="1">
        <f t="array" ref="D76">rendimento_cdb(C76,CDI,CDB)</f>
        <v>1491.8872257581252</v>
      </c>
      <c r="E76" s="15" cm="1">
        <f t="array" ref="E76">irpf_regressiva(D76,0.15)</f>
        <v>223.78307999999998</v>
      </c>
      <c r="F76" s="15">
        <v>0</v>
      </c>
      <c r="G76" s="16">
        <f t="shared" si="4"/>
        <v>1268.1041457581252</v>
      </c>
    </row>
    <row r="77" spans="1:7" x14ac:dyDescent="0.25">
      <c r="A77" s="10">
        <v>46600</v>
      </c>
      <c r="B77" s="11" t="s">
        <v>6</v>
      </c>
      <c r="C77" s="17">
        <f t="shared" si="3"/>
        <v>117651.31040368564</v>
      </c>
      <c r="D77" s="17" cm="1">
        <f t="array" ref="D77">rendimento_cdb(C77,CDI,CDB)</f>
        <v>1508.1427351900002</v>
      </c>
      <c r="E77" s="17" cm="1">
        <f t="array" ref="E77">irpf_regressiva(D77,0.15)</f>
        <v>226.221405</v>
      </c>
      <c r="F77" s="17">
        <v>0</v>
      </c>
      <c r="G77" s="18">
        <f t="shared" si="4"/>
        <v>1281.9213301900002</v>
      </c>
    </row>
    <row r="78" spans="1:7" x14ac:dyDescent="0.25">
      <c r="A78" s="8">
        <v>46631</v>
      </c>
      <c r="B78" s="9" t="s">
        <v>6</v>
      </c>
      <c r="C78" s="15">
        <f t="shared" si="3"/>
        <v>118933.23173387564</v>
      </c>
      <c r="D78" s="15" cm="1">
        <f t="array" ref="D78">rendimento_cdb(C78,CDI,CDB)</f>
        <v>1524.5753638543752</v>
      </c>
      <c r="E78" s="15" cm="1">
        <f t="array" ref="E78">irpf_regressiva(D78,0.15)</f>
        <v>228.68630999999999</v>
      </c>
      <c r="F78" s="15">
        <v>0</v>
      </c>
      <c r="G78" s="16">
        <f t="shared" si="4"/>
        <v>1295.8890538543751</v>
      </c>
    </row>
    <row r="79" spans="1:7" x14ac:dyDescent="0.25">
      <c r="A79" s="10">
        <v>46661</v>
      </c>
      <c r="B79" s="11" t="s">
        <v>6</v>
      </c>
      <c r="C79" s="17">
        <f t="shared" si="3"/>
        <v>120229.12078773002</v>
      </c>
      <c r="D79" s="17" cm="1">
        <f t="array" ref="D79">rendimento_cdb(C79,CDI,CDB)</f>
        <v>1541.1870422550001</v>
      </c>
      <c r="E79" s="17" cm="1">
        <f t="array" ref="E79">irpf_regressiva(D79,0.15)</f>
        <v>231.17804999999998</v>
      </c>
      <c r="F79" s="17">
        <v>0</v>
      </c>
      <c r="G79" s="18">
        <f t="shared" si="4"/>
        <v>1310.0089922550001</v>
      </c>
    </row>
    <row r="80" spans="1:7" x14ac:dyDescent="0.25">
      <c r="A80" s="8">
        <v>46692</v>
      </c>
      <c r="B80" s="9" t="s">
        <v>6</v>
      </c>
      <c r="C80" s="15">
        <f t="shared" si="3"/>
        <v>121539.12977998501</v>
      </c>
      <c r="D80" s="15" cm="1">
        <f t="array" ref="D80">rendimento_cdb(C80,CDI,CDB)</f>
        <v>1557.97972012375</v>
      </c>
      <c r="E80" s="15" cm="1">
        <f t="array" ref="E80">irpf_regressiva(D80,0.15)</f>
        <v>233.696955</v>
      </c>
      <c r="F80" s="15">
        <v>0</v>
      </c>
      <c r="G80" s="16">
        <f t="shared" si="4"/>
        <v>1324.2827651237499</v>
      </c>
    </row>
    <row r="81" spans="1:7" x14ac:dyDescent="0.25">
      <c r="A81" s="10">
        <v>46722</v>
      </c>
      <c r="B81" s="11" t="s">
        <v>6</v>
      </c>
      <c r="C81" s="17">
        <f t="shared" si="3"/>
        <v>122863.41254510876</v>
      </c>
      <c r="D81" s="17" cm="1">
        <f t="array" ref="D81">rendimento_cdb(C81,CDI,CDB)</f>
        <v>1574.9553689843751</v>
      </c>
      <c r="E81" s="17" cm="1">
        <f t="array" ref="E81">irpf_regressiva(D81,0.15)</f>
        <v>236.24331000000001</v>
      </c>
      <c r="F81" s="17">
        <v>0</v>
      </c>
      <c r="G81" s="18">
        <f t="shared" si="4"/>
        <v>1338.7120589843751</v>
      </c>
    </row>
    <row r="82" spans="1:7" x14ac:dyDescent="0.25">
      <c r="A82" s="8">
        <v>46753</v>
      </c>
      <c r="B82" s="9" t="s">
        <v>6</v>
      </c>
      <c r="C82" s="15">
        <f t="shared" si="3"/>
        <v>124202.12460409313</v>
      </c>
      <c r="D82" s="15" cm="1">
        <f t="array" ref="D82">rendimento_cdb(C82,CDI,CDB)</f>
        <v>1592.1159847162501</v>
      </c>
      <c r="E82" s="15" cm="1">
        <f t="array" ref="E82">irpf_regressiva(D82,0.15)</f>
        <v>238.81739999999999</v>
      </c>
      <c r="F82" s="15">
        <v>0</v>
      </c>
      <c r="G82" s="16">
        <f t="shared" si="4"/>
        <v>1353.2985847162502</v>
      </c>
    </row>
    <row r="83" spans="1:7" x14ac:dyDescent="0.25">
      <c r="A83" s="10">
        <v>46784</v>
      </c>
      <c r="B83" s="11" t="s">
        <v>6</v>
      </c>
      <c r="C83" s="17">
        <f t="shared" si="3"/>
        <v>125555.42318880938</v>
      </c>
      <c r="D83" s="17" cm="1">
        <f t="array" ref="D83">rendimento_cdb(C83,CDI,CDB)</f>
        <v>1609.463581145</v>
      </c>
      <c r="E83" s="17" cm="1">
        <f t="array" ref="E83">irpf_regressiva(D83,0.15)</f>
        <v>241.41953999999998</v>
      </c>
      <c r="F83" s="17">
        <v>0</v>
      </c>
      <c r="G83" s="18">
        <f t="shared" si="4"/>
        <v>1368.0440411449999</v>
      </c>
    </row>
    <row r="84" spans="1:7" x14ac:dyDescent="0.25">
      <c r="A84" s="8">
        <v>46813</v>
      </c>
      <c r="B84" s="9" t="s">
        <v>6</v>
      </c>
      <c r="C84" s="15">
        <f t="shared" si="3"/>
        <v>126923.46722995437</v>
      </c>
      <c r="D84" s="15" cm="1">
        <f t="array" ref="D84">rendimento_cdb(C84,CDI,CDB)</f>
        <v>1627.0001951700001</v>
      </c>
      <c r="E84" s="15" cm="1">
        <f t="array" ref="E84">irpf_regressiva(D84,0.15)</f>
        <v>244.05002999999999</v>
      </c>
      <c r="F84" s="15">
        <v>0</v>
      </c>
      <c r="G84" s="16">
        <f t="shared" si="4"/>
        <v>1382.9501651700002</v>
      </c>
    </row>
    <row r="85" spans="1:7" x14ac:dyDescent="0.25">
      <c r="A85" s="10">
        <v>46844</v>
      </c>
      <c r="B85" s="11" t="s">
        <v>6</v>
      </c>
      <c r="C85" s="17">
        <f t="shared" si="3"/>
        <v>128306.41739512437</v>
      </c>
      <c r="D85" s="17" cm="1">
        <f t="array" ref="D85">rendimento_cdb(C85,CDI,CDB)</f>
        <v>1644.7278880462502</v>
      </c>
      <c r="E85" s="17" cm="1">
        <f t="array" ref="E85">irpf_regressiva(D85,0.15)</f>
        <v>246.70918499999999</v>
      </c>
      <c r="F85" s="17">
        <v>0</v>
      </c>
      <c r="G85" s="18">
        <f t="shared" si="4"/>
        <v>1398.0187030462503</v>
      </c>
    </row>
    <row r="86" spans="1:7" x14ac:dyDescent="0.25">
      <c r="A86" s="8">
        <v>46874</v>
      </c>
      <c r="B86" s="9" t="s">
        <v>6</v>
      </c>
      <c r="C86" s="15">
        <f t="shared" si="3"/>
        <v>129704.43609817063</v>
      </c>
      <c r="D86" s="15" cm="1">
        <f t="array" ref="D86">rendimento_cdb(C86,CDI,CDB)</f>
        <v>1662.648740256875</v>
      </c>
      <c r="E86" s="15" cm="1">
        <f t="array" ref="E86">irpf_regressiva(D86,0.15)</f>
        <v>249.39730499999999</v>
      </c>
      <c r="F86" s="15">
        <v>0</v>
      </c>
      <c r="G86" s="16">
        <f t="shared" si="4"/>
        <v>1413.2514352568751</v>
      </c>
    </row>
    <row r="87" spans="1:7" x14ac:dyDescent="0.25">
      <c r="A87" s="10">
        <v>46905</v>
      </c>
      <c r="B87" s="11" t="s">
        <v>6</v>
      </c>
      <c r="C87" s="17">
        <f t="shared" si="3"/>
        <v>131117.6875334275</v>
      </c>
      <c r="D87" s="17" cm="1">
        <f t="array" ref="D87">rendimento_cdb(C87,CDI,CDB)</f>
        <v>1680.7648566406251</v>
      </c>
      <c r="E87" s="17" cm="1">
        <f t="array" ref="E87">irpf_regressiva(D87,0.15)</f>
        <v>252.11473499999997</v>
      </c>
      <c r="F87" s="17">
        <v>0</v>
      </c>
      <c r="G87" s="18">
        <f t="shared" si="4"/>
        <v>1428.6501216406252</v>
      </c>
    </row>
    <row r="88" spans="1:7" x14ac:dyDescent="0.25">
      <c r="A88" s="8">
        <v>46935</v>
      </c>
      <c r="B88" s="9" t="s">
        <v>6</v>
      </c>
      <c r="C88" s="15">
        <f t="shared" si="3"/>
        <v>132546.33765506811</v>
      </c>
      <c r="D88" s="15" cm="1">
        <f t="array" ref="D88">rendimento_cdb(C88,CDI,CDB)</f>
        <v>1699.0783663918751</v>
      </c>
      <c r="E88" s="15" cm="1">
        <f t="array" ref="E88">irpf_regressiva(D88,0.15)</f>
        <v>254.86176</v>
      </c>
      <c r="F88" s="15">
        <v>0</v>
      </c>
      <c r="G88" s="16">
        <f t="shared" si="4"/>
        <v>1444.2166063918751</v>
      </c>
    </row>
    <row r="89" spans="1:7" x14ac:dyDescent="0.25">
      <c r="A89" s="10">
        <v>46966</v>
      </c>
      <c r="B89" s="11" t="s">
        <v>6</v>
      </c>
      <c r="C89" s="17">
        <f t="shared" si="3"/>
        <v>133990.55426146</v>
      </c>
      <c r="D89" s="17" cm="1">
        <f t="array" ref="D89">rendimento_cdb(C89,CDI,CDB)</f>
        <v>1717.5914179331248</v>
      </c>
      <c r="E89" s="17" cm="1">
        <f t="array" ref="E89">irpf_regressiva(D89,0.15)</f>
        <v>257.63871</v>
      </c>
      <c r="F89" s="17">
        <v>0</v>
      </c>
      <c r="G89" s="18">
        <f t="shared" si="4"/>
        <v>1459.9527079331249</v>
      </c>
    </row>
    <row r="90" spans="1:7" x14ac:dyDescent="0.25">
      <c r="A90" s="8">
        <v>46997</v>
      </c>
      <c r="B90" s="9" t="s">
        <v>6</v>
      </c>
      <c r="C90" s="15">
        <f t="shared" si="3"/>
        <v>135450.50696939311</v>
      </c>
      <c r="D90" s="15" cm="1">
        <f t="array" ref="D90">rendimento_cdb(C90,CDI,CDB)</f>
        <v>1736.3061866062501</v>
      </c>
      <c r="E90" s="15" cm="1">
        <f t="array" ref="E90">irpf_regressiva(D90,0.15)</f>
        <v>260.44592999999998</v>
      </c>
      <c r="F90" s="15">
        <v>0</v>
      </c>
      <c r="G90" s="16">
        <f t="shared" si="4"/>
        <v>1475.86025660625</v>
      </c>
    </row>
    <row r="91" spans="1:7" x14ac:dyDescent="0.25">
      <c r="A91" s="10">
        <v>47027</v>
      </c>
      <c r="B91" s="11" t="s">
        <v>6</v>
      </c>
      <c r="C91" s="17">
        <f t="shared" si="3"/>
        <v>136926.36722599936</v>
      </c>
      <c r="D91" s="17" cm="1">
        <f t="array" ref="D91">rendimento_cdb(C91,CDI,CDB)</f>
        <v>1755.224869545</v>
      </c>
      <c r="E91" s="17" cm="1">
        <f t="array" ref="E91">irpf_regressiva(D91,0.15)</f>
        <v>263.28373499999998</v>
      </c>
      <c r="F91" s="17">
        <v>0</v>
      </c>
      <c r="G91" s="18">
        <f t="shared" si="4"/>
        <v>1491.9411345450001</v>
      </c>
    </row>
    <row r="92" spans="1:7" x14ac:dyDescent="0.25">
      <c r="A92" s="8">
        <v>47058</v>
      </c>
      <c r="B92" s="9" t="s">
        <v>6</v>
      </c>
      <c r="C92" s="15">
        <f t="shared" si="3"/>
        <v>138418.30836054435</v>
      </c>
      <c r="D92" s="15" cm="1">
        <f t="array" ref="D92">rendimento_cdb(C92,CDI,CDB)</f>
        <v>1774.3496908025002</v>
      </c>
      <c r="E92" s="15" cm="1">
        <f t="array" ref="E92">irpf_regressiva(D92,0.15)</f>
        <v>266.15245499999997</v>
      </c>
      <c r="F92" s="15">
        <v>0</v>
      </c>
      <c r="G92" s="16">
        <f t="shared" si="4"/>
        <v>1508.1972358025002</v>
      </c>
    </row>
    <row r="93" spans="1:7" x14ac:dyDescent="0.25">
      <c r="A93" s="10">
        <v>47088</v>
      </c>
      <c r="B93" s="11" t="s">
        <v>6</v>
      </c>
      <c r="C93" s="17">
        <f t="shared" si="3"/>
        <v>139926.50559634686</v>
      </c>
      <c r="D93" s="17" cm="1">
        <f t="array" ref="D93">rendimento_cdb(C93,CDI,CDB)</f>
        <v>1793.68289366</v>
      </c>
      <c r="E93" s="17" cm="1">
        <f t="array" ref="E93">irpf_regressiva(D93,0.15)</f>
        <v>269.052435</v>
      </c>
      <c r="F93" s="17">
        <v>0</v>
      </c>
      <c r="G93" s="18">
        <f t="shared" si="4"/>
        <v>1524.6304586599999</v>
      </c>
    </row>
    <row r="94" spans="1:7" x14ac:dyDescent="0.25">
      <c r="A94" s="8">
        <v>47119</v>
      </c>
      <c r="B94" s="9" t="s">
        <v>6</v>
      </c>
      <c r="C94" s="15">
        <f t="shared" si="3"/>
        <v>141451.13605500685</v>
      </c>
      <c r="D94" s="15" cm="1">
        <f t="array" ref="D94">rendimento_cdb(C94,CDI,CDB)</f>
        <v>1813.226750881875</v>
      </c>
      <c r="E94" s="15" cm="1">
        <f t="array" ref="E94">irpf_regressiva(D94,0.15)</f>
        <v>271.98401999999999</v>
      </c>
      <c r="F94" s="15">
        <v>0</v>
      </c>
      <c r="G94" s="16">
        <f t="shared" si="4"/>
        <v>1541.2427308818751</v>
      </c>
    </row>
    <row r="95" spans="1:7" x14ac:dyDescent="0.25">
      <c r="A95" s="10">
        <v>47150</v>
      </c>
      <c r="B95" s="11" t="s">
        <v>6</v>
      </c>
      <c r="C95" s="17">
        <f t="shared" si="3"/>
        <v>142992.37878588872</v>
      </c>
      <c r="D95" s="17" cm="1">
        <f t="array" ref="D95">rendimento_cdb(C95,CDI,CDB)</f>
        <v>1832.9835557425001</v>
      </c>
      <c r="E95" s="17" cm="1">
        <f t="array" ref="E95">irpf_regressiva(D95,0.15)</f>
        <v>274.94754</v>
      </c>
      <c r="F95" s="17">
        <v>0</v>
      </c>
      <c r="G95" s="18">
        <f t="shared" si="4"/>
        <v>1558.0360157425002</v>
      </c>
    </row>
    <row r="96" spans="1:7" x14ac:dyDescent="0.25">
      <c r="A96" s="8">
        <v>47178</v>
      </c>
      <c r="B96" s="9" t="s">
        <v>6</v>
      </c>
      <c r="C96" s="15">
        <f t="shared" si="3"/>
        <v>144550.41480163121</v>
      </c>
      <c r="D96" s="15" cm="1">
        <f t="array" ref="D96">rendimento_cdb(C96,CDI,CDB)</f>
        <v>1852.9556297175</v>
      </c>
      <c r="E96" s="15" cm="1">
        <f t="array" ref="E96">irpf_regressiva(D96,0.15)</f>
        <v>277.94333999999998</v>
      </c>
      <c r="F96" s="15">
        <v>0</v>
      </c>
      <c r="G96" s="16">
        <f t="shared" si="4"/>
        <v>1575.0122897174999</v>
      </c>
    </row>
    <row r="97" spans="1:7" x14ac:dyDescent="0.25">
      <c r="A97" s="10">
        <v>47209</v>
      </c>
      <c r="B97" s="11" t="s">
        <v>6</v>
      </c>
      <c r="C97" s="17">
        <f t="shared" si="3"/>
        <v>146125.42709134871</v>
      </c>
      <c r="D97" s="17" cm="1">
        <f t="array" ref="D97">rendimento_cdb(C97,CDI,CDB)</f>
        <v>1873.145318638125</v>
      </c>
      <c r="E97" s="17" cm="1">
        <f t="array" ref="E97">irpf_regressiva(D97,0.15)</f>
        <v>280.97179499999999</v>
      </c>
      <c r="F97" s="17">
        <v>0</v>
      </c>
      <c r="G97" s="18">
        <f t="shared" si="4"/>
        <v>1592.1735236381251</v>
      </c>
    </row>
    <row r="98" spans="1:7" x14ac:dyDescent="0.25">
      <c r="A98" s="8">
        <v>47239</v>
      </c>
      <c r="B98" s="9" t="s">
        <v>6</v>
      </c>
      <c r="C98" s="15">
        <f t="shared" si="3"/>
        <v>147717.60061498685</v>
      </c>
      <c r="D98" s="15" cm="1">
        <f t="array" ref="D98">rendimento_cdb(C98,CDI,CDB)</f>
        <v>1893.5549926912502</v>
      </c>
      <c r="E98" s="15" cm="1">
        <f t="array" ref="E98">irpf_regressiva(D98,0.15)</f>
        <v>284.03325000000001</v>
      </c>
      <c r="F98" s="15">
        <v>0</v>
      </c>
      <c r="G98" s="16">
        <f t="shared" si="4"/>
        <v>1609.5217426912502</v>
      </c>
    </row>
    <row r="99" spans="1:7" x14ac:dyDescent="0.25">
      <c r="A99" s="10">
        <v>47270</v>
      </c>
      <c r="B99" s="11" t="s">
        <v>6</v>
      </c>
      <c r="C99" s="17">
        <f t="shared" si="3"/>
        <v>149327.1223576781</v>
      </c>
      <c r="D99" s="17" cm="1">
        <f t="array" ref="D99">rendimento_cdb(C99,CDI,CDB)</f>
        <v>1914.1870502649999</v>
      </c>
      <c r="E99" s="17" cm="1">
        <f t="array" ref="E99">irpf_regressiva(D99,0.15)</f>
        <v>287.12806499999999</v>
      </c>
      <c r="F99" s="17">
        <v>0</v>
      </c>
      <c r="G99" s="18">
        <f t="shared" si="4"/>
        <v>1627.058985265</v>
      </c>
    </row>
    <row r="100" spans="1:7" x14ac:dyDescent="0.25">
      <c r="A100" s="8">
        <v>47300</v>
      </c>
      <c r="B100" s="9" t="s">
        <v>6</v>
      </c>
      <c r="C100" s="15">
        <f t="shared" si="3"/>
        <v>150954.18134294311</v>
      </c>
      <c r="D100" s="15" cm="1">
        <f t="array" ref="D100">rendimento_cdb(C100,CDI,CDB)</f>
        <v>1935.0439115393749</v>
      </c>
      <c r="E100" s="15" cm="1">
        <f t="array" ref="E100">irpf_regressiva(D100,0.15)</f>
        <v>290.25658499999997</v>
      </c>
      <c r="F100" s="15">
        <v>0</v>
      </c>
      <c r="G100" s="16">
        <f t="shared" si="4"/>
        <v>1644.787326539375</v>
      </c>
    </row>
    <row r="101" spans="1:7" x14ac:dyDescent="0.25">
      <c r="A101" s="10">
        <v>47331</v>
      </c>
      <c r="B101" s="11" t="s">
        <v>6</v>
      </c>
      <c r="C101" s="17">
        <f t="shared" si="3"/>
        <v>152598.96866948248</v>
      </c>
      <c r="D101" s="17" cm="1">
        <f t="array" ref="D101">rendimento_cdb(C101,CDI,CDB)</f>
        <v>1956.1280300231251</v>
      </c>
      <c r="E101" s="17" cm="1">
        <f t="array" ref="E101">irpf_regressiva(D101,0.15)</f>
        <v>293.41919999999999</v>
      </c>
      <c r="F101" s="17">
        <v>0</v>
      </c>
      <c r="G101" s="18">
        <f t="shared" si="4"/>
        <v>1662.7088300231251</v>
      </c>
    </row>
    <row r="102" spans="1:7" x14ac:dyDescent="0.25">
      <c r="A102" s="8">
        <v>47362</v>
      </c>
      <c r="B102" s="9" t="s">
        <v>6</v>
      </c>
      <c r="C102" s="15">
        <f t="shared" si="3"/>
        <v>154261.6774995056</v>
      </c>
      <c r="D102" s="15" cm="1">
        <f t="array" ref="D102">rendimento_cdb(C102,CDI,CDB)</f>
        <v>1977.4418784531249</v>
      </c>
      <c r="E102" s="15" cm="1">
        <f t="array" ref="E102">irpf_regressiva(D102,0.15)</f>
        <v>296.616285</v>
      </c>
      <c r="F102" s="15">
        <v>0</v>
      </c>
      <c r="G102" s="16">
        <f t="shared" si="4"/>
        <v>1680.8255934531248</v>
      </c>
    </row>
    <row r="103" spans="1:7" x14ac:dyDescent="0.25">
      <c r="A103" s="10">
        <v>47392</v>
      </c>
      <c r="B103" s="11" t="s">
        <v>6</v>
      </c>
      <c r="C103" s="17">
        <f t="shared" si="3"/>
        <v>155942.50309295874</v>
      </c>
      <c r="D103" s="17" cm="1">
        <f t="array" ref="D103">rendimento_cdb(C103,CDI,CDB)</f>
        <v>1998.987961613125</v>
      </c>
      <c r="E103" s="17" cm="1">
        <f t="array" ref="E103">irpf_regressiva(D103,0.15)</f>
        <v>299.84820000000002</v>
      </c>
      <c r="F103" s="17">
        <v>0</v>
      </c>
      <c r="G103" s="18">
        <f t="shared" si="4"/>
        <v>1699.1397616131248</v>
      </c>
    </row>
    <row r="104" spans="1:7" x14ac:dyDescent="0.25">
      <c r="A104" s="8">
        <v>47423</v>
      </c>
      <c r="B104" s="9" t="s">
        <v>6</v>
      </c>
      <c r="C104" s="15">
        <f t="shared" si="3"/>
        <v>157641.64285457187</v>
      </c>
      <c r="D104" s="15" cm="1">
        <f t="array" ref="D104">rendimento_cdb(C104,CDI,CDB)</f>
        <v>2020.7688099243751</v>
      </c>
      <c r="E104" s="15" cm="1">
        <f t="array" ref="E104">irpf_regressiva(D104,0.15)</f>
        <v>303.11532</v>
      </c>
      <c r="F104" s="15">
        <v>0</v>
      </c>
      <c r="G104" s="16">
        <f t="shared" si="4"/>
        <v>1717.6534899243752</v>
      </c>
    </row>
    <row r="105" spans="1:7" x14ac:dyDescent="0.25">
      <c r="A105" s="10">
        <v>47453</v>
      </c>
      <c r="B105" s="11" t="s">
        <v>6</v>
      </c>
      <c r="C105" s="17">
        <f t="shared" si="3"/>
        <v>159359.29634449625</v>
      </c>
      <c r="D105" s="17" cm="1">
        <f t="array" ref="D105">rendimento_cdb(C105,CDI,CDB)</f>
        <v>2042.7869794456249</v>
      </c>
      <c r="E105" s="17" cm="1">
        <f t="array" ref="E105">irpf_regressiva(D105,0.15)</f>
        <v>306.41804999999999</v>
      </c>
      <c r="F105" s="17">
        <v>0</v>
      </c>
      <c r="G105" s="18">
        <f t="shared" si="4"/>
        <v>1736.3689294456249</v>
      </c>
    </row>
    <row r="106" spans="1:7" x14ac:dyDescent="0.25">
      <c r="A106" s="8">
        <v>47484</v>
      </c>
      <c r="B106" s="9" t="s">
        <v>6</v>
      </c>
      <c r="C106" s="15">
        <f t="shared" si="3"/>
        <v>161095.66527394188</v>
      </c>
      <c r="D106" s="15" cm="1">
        <f t="array" ref="D106">rendimento_cdb(C106,CDI,CDB)</f>
        <v>2065.0450595643752</v>
      </c>
      <c r="E106" s="15" cm="1">
        <f t="array" ref="E106">irpf_regressiva(D106,0.15)</f>
        <v>309.75676499999997</v>
      </c>
      <c r="F106" s="15">
        <v>0</v>
      </c>
      <c r="G106" s="16">
        <f t="shared" si="4"/>
        <v>1755.2882945643751</v>
      </c>
    </row>
    <row r="107" spans="1:7" x14ac:dyDescent="0.25">
      <c r="A107" s="10">
        <v>47515</v>
      </c>
      <c r="B107" s="11" t="s">
        <v>6</v>
      </c>
      <c r="C107" s="17">
        <f t="shared" si="3"/>
        <v>162850.95356850626</v>
      </c>
      <c r="D107" s="17" cm="1">
        <f t="array" ref="D107">rendimento_cdb(C107,CDI,CDB)</f>
        <v>2087.5456614600002</v>
      </c>
      <c r="E107" s="17" cm="1">
        <f t="array" ref="E107">irpf_regressiva(D107,0.15)</f>
        <v>313.13185500000003</v>
      </c>
      <c r="F107" s="17">
        <v>0</v>
      </c>
      <c r="G107" s="18">
        <f t="shared" si="4"/>
        <v>1774.4138064600002</v>
      </c>
    </row>
    <row r="108" spans="1:7" x14ac:dyDescent="0.25">
      <c r="A108" s="8">
        <v>47543</v>
      </c>
      <c r="B108" s="9" t="s">
        <v>6</v>
      </c>
      <c r="C108" s="15">
        <f t="shared" si="3"/>
        <v>164625.36737496627</v>
      </c>
      <c r="D108" s="15" cm="1">
        <f t="array" ref="D108">rendimento_cdb(C108,CDI,CDB)</f>
        <v>2110.2914283587497</v>
      </c>
      <c r="E108" s="15" cm="1">
        <f t="array" ref="E108">irpf_regressiva(D108,0.15)</f>
        <v>316.54370999999998</v>
      </c>
      <c r="F108" s="15">
        <v>0</v>
      </c>
      <c r="G108" s="16">
        <f t="shared" si="4"/>
        <v>1793.7477183587498</v>
      </c>
    </row>
    <row r="109" spans="1:7" x14ac:dyDescent="0.25">
      <c r="A109" s="10">
        <v>47574</v>
      </c>
      <c r="B109" s="11" t="s">
        <v>6</v>
      </c>
      <c r="C109" s="17">
        <f t="shared" si="3"/>
        <v>166419.11509332503</v>
      </c>
      <c r="D109" s="17" cm="1">
        <f t="array" ref="D109">rendimento_cdb(C109,CDI,CDB)</f>
        <v>2133.2850316881249</v>
      </c>
      <c r="E109" s="17" cm="1">
        <f t="array" ref="E109">irpf_regressiva(D109,0.15)</f>
        <v>319.99274999999994</v>
      </c>
      <c r="F109" s="17">
        <v>0</v>
      </c>
      <c r="G109" s="18">
        <f t="shared" si="4"/>
        <v>1813.2922816881251</v>
      </c>
    </row>
    <row r="110" spans="1:7" x14ac:dyDescent="0.25">
      <c r="A110" s="8">
        <v>47604</v>
      </c>
      <c r="B110" s="9" t="s">
        <v>6</v>
      </c>
      <c r="C110" s="15">
        <f t="shared" si="3"/>
        <v>168232.40737501316</v>
      </c>
      <c r="D110" s="15" cm="1">
        <f t="array" ref="D110">rendimento_cdb(C110,CDI,CDB)</f>
        <v>2156.5291723587502</v>
      </c>
      <c r="E110" s="15" cm="1">
        <f t="array" ref="E110">irpf_regressiva(D110,0.15)</f>
        <v>323.47937999999999</v>
      </c>
      <c r="F110" s="15">
        <v>0</v>
      </c>
      <c r="G110" s="16">
        <f t="shared" si="4"/>
        <v>1833.0497923587502</v>
      </c>
    </row>
    <row r="111" spans="1:7" x14ac:dyDescent="0.25">
      <c r="A111" s="10">
        <v>47635</v>
      </c>
      <c r="B111" s="11" t="s">
        <v>6</v>
      </c>
      <c r="C111" s="17">
        <f t="shared" si="3"/>
        <v>170065.4571673719</v>
      </c>
      <c r="D111" s="17" cm="1">
        <f t="array" ref="D111">rendimento_cdb(C111,CDI,CDB)</f>
        <v>2180.0265794825</v>
      </c>
      <c r="E111" s="17" cm="1">
        <f t="array" ref="E111">irpf_regressiva(D111,0.15)</f>
        <v>327.00398999999999</v>
      </c>
      <c r="F111" s="17">
        <v>0</v>
      </c>
      <c r="G111" s="18">
        <f t="shared" si="4"/>
        <v>1853.0225894825001</v>
      </c>
    </row>
    <row r="112" spans="1:7" x14ac:dyDescent="0.25">
      <c r="A112" s="8">
        <v>47665</v>
      </c>
      <c r="B112" s="9" t="s">
        <v>6</v>
      </c>
      <c r="C112" s="15">
        <f t="shared" ref="C112:C121" si="5">C111+G111</f>
        <v>171918.47975685442</v>
      </c>
      <c r="D112" s="15" cm="1">
        <f t="array" ref="D112">rendimento_cdb(C112,CDI,CDB)</f>
        <v>2203.7800129362499</v>
      </c>
      <c r="E112" s="15" cm="1">
        <f t="array" ref="E112">irpf_regressiva(D112,0.15)</f>
        <v>330.56700000000001</v>
      </c>
      <c r="F112" s="15">
        <v>0</v>
      </c>
      <c r="G112" s="16">
        <f t="shared" ref="G112:G121" si="6">D112-E112-F112</f>
        <v>1873.2130129362499</v>
      </c>
    </row>
    <row r="113" spans="1:7" x14ac:dyDescent="0.25">
      <c r="A113" s="10">
        <v>47696</v>
      </c>
      <c r="B113" s="11" t="s">
        <v>6</v>
      </c>
      <c r="C113" s="17">
        <f t="shared" si="5"/>
        <v>173791.69276979068</v>
      </c>
      <c r="D113" s="17" cm="1">
        <f t="array" ref="D113">rendimento_cdb(C113,CDI,CDB)</f>
        <v>2227.79226208</v>
      </c>
      <c r="E113" s="17" cm="1">
        <f t="array" ref="E113">irpf_regressiva(D113,0.15)</f>
        <v>334.16884499999998</v>
      </c>
      <c r="F113" s="17">
        <v>0</v>
      </c>
      <c r="G113" s="18">
        <f t="shared" si="6"/>
        <v>1893.6234170800001</v>
      </c>
    </row>
    <row r="114" spans="1:7" x14ac:dyDescent="0.25">
      <c r="A114" s="8">
        <v>47727</v>
      </c>
      <c r="B114" s="9" t="s">
        <v>6</v>
      </c>
      <c r="C114" s="15">
        <f t="shared" si="5"/>
        <v>175685.31618687068</v>
      </c>
      <c r="D114" s="15" cm="1">
        <f t="array" ref="D114">rendimento_cdb(C114,CDI,CDB)</f>
        <v>2252.0661470387499</v>
      </c>
      <c r="E114" s="15" cm="1">
        <f t="array" ref="E114">irpf_regressiva(D114,0.15)</f>
        <v>337.80991499999999</v>
      </c>
      <c r="F114" s="15">
        <v>0</v>
      </c>
      <c r="G114" s="16">
        <f t="shared" si="6"/>
        <v>1914.2562320387499</v>
      </c>
    </row>
    <row r="115" spans="1:7" x14ac:dyDescent="0.25">
      <c r="A115" s="10">
        <v>47757</v>
      </c>
      <c r="B115" s="11" t="s">
        <v>6</v>
      </c>
      <c r="C115" s="17">
        <f t="shared" si="5"/>
        <v>177599.57241890943</v>
      </c>
      <c r="D115" s="17" cm="1">
        <f t="array" ref="D115">rendimento_cdb(C115,CDI,CDB)</f>
        <v>2276.6045187025002</v>
      </c>
      <c r="E115" s="17" cm="1">
        <f t="array" ref="E115">irpf_regressiva(D115,0.15)</f>
        <v>341.49067499999995</v>
      </c>
      <c r="F115" s="17">
        <v>0</v>
      </c>
      <c r="G115" s="18">
        <f t="shared" si="6"/>
        <v>1935.1138437025002</v>
      </c>
    </row>
    <row r="116" spans="1:7" x14ac:dyDescent="0.25">
      <c r="A116" s="8">
        <v>47788</v>
      </c>
      <c r="B116" s="9" t="s">
        <v>6</v>
      </c>
      <c r="C116" s="15">
        <f t="shared" si="5"/>
        <v>179534.68626261194</v>
      </c>
      <c r="D116" s="15" cm="1">
        <f t="array" ref="D116">rendimento_cdb(C116,CDI,CDB)</f>
        <v>2301.4102600081251</v>
      </c>
      <c r="E116" s="15" cm="1">
        <f t="array" ref="E116">irpf_regressiva(D116,0.15)</f>
        <v>345.211545</v>
      </c>
      <c r="F116" s="15">
        <v>0</v>
      </c>
      <c r="G116" s="16">
        <f t="shared" si="6"/>
        <v>1956.198715008125</v>
      </c>
    </row>
    <row r="117" spans="1:7" x14ac:dyDescent="0.25">
      <c r="A117" s="10">
        <v>47818</v>
      </c>
      <c r="B117" s="11" t="s">
        <v>6</v>
      </c>
      <c r="C117" s="17">
        <f t="shared" si="5"/>
        <v>181490.88497762007</v>
      </c>
      <c r="D117" s="17" cm="1">
        <f t="array" ref="D117">rendimento_cdb(C117,CDI,CDB)</f>
        <v>2326.4862820937501</v>
      </c>
      <c r="E117" s="17" cm="1">
        <f t="array" ref="E117">irpf_regressiva(D117,0.15)</f>
        <v>348.97294499999998</v>
      </c>
      <c r="F117" s="17">
        <v>0</v>
      </c>
      <c r="G117" s="18">
        <f t="shared" si="6"/>
        <v>1977.5133370937501</v>
      </c>
    </row>
    <row r="118" spans="1:7" x14ac:dyDescent="0.25">
      <c r="A118" s="8">
        <v>47849</v>
      </c>
      <c r="B118" s="9" t="s">
        <v>6</v>
      </c>
      <c r="C118" s="15">
        <f t="shared" si="5"/>
        <v>183468.39831471382</v>
      </c>
      <c r="D118" s="15" cm="1">
        <f t="array" ref="D118">rendimento_cdb(C118,CDI,CDB)</f>
        <v>2351.8355307081251</v>
      </c>
      <c r="E118" s="15" cm="1">
        <f t="array" ref="E118">irpf_regressiva(D118,0.15)</f>
        <v>352.77532500000001</v>
      </c>
      <c r="F118" s="15">
        <v>0</v>
      </c>
      <c r="G118" s="16">
        <f t="shared" si="6"/>
        <v>1999.0602057081251</v>
      </c>
    </row>
    <row r="119" spans="1:7" x14ac:dyDescent="0.25">
      <c r="A119" s="10">
        <v>47880</v>
      </c>
      <c r="B119" s="11" t="s">
        <v>6</v>
      </c>
      <c r="C119" s="17">
        <f t="shared" si="5"/>
        <v>185467.45852042193</v>
      </c>
      <c r="D119" s="17" cm="1">
        <f t="array" ref="D119">rendimento_cdb(C119,CDI,CDB)</f>
        <v>2377.4609836468753</v>
      </c>
      <c r="E119" s="17" cm="1">
        <f t="array" ref="E119">irpf_regressiva(D119,0.15)</f>
        <v>356.61914999999993</v>
      </c>
      <c r="F119" s="17">
        <v>0</v>
      </c>
      <c r="G119" s="18">
        <f t="shared" si="6"/>
        <v>2020.8418336468753</v>
      </c>
    </row>
    <row r="120" spans="1:7" x14ac:dyDescent="0.25">
      <c r="A120" s="8">
        <v>47908</v>
      </c>
      <c r="B120" s="9" t="s">
        <v>6</v>
      </c>
      <c r="C120" s="15">
        <f t="shared" si="5"/>
        <v>187488.30035406881</v>
      </c>
      <c r="D120" s="15" cm="1">
        <f t="array" ref="D120">rendimento_cdb(C120,CDI,CDB)</f>
        <v>2403.3656507525002</v>
      </c>
      <c r="E120" s="15" cm="1">
        <f t="array" ref="E120">irpf_regressiva(D120,0.15)</f>
        <v>360.50485499999996</v>
      </c>
      <c r="F120" s="15">
        <v>0</v>
      </c>
      <c r="G120" s="16">
        <f t="shared" si="6"/>
        <v>2042.8607957525003</v>
      </c>
    </row>
    <row r="121" spans="1:7" x14ac:dyDescent="0.25">
      <c r="A121" s="10">
        <v>47939</v>
      </c>
      <c r="B121" s="11" t="s">
        <v>6</v>
      </c>
      <c r="C121" s="17">
        <f t="shared" si="5"/>
        <v>189531.1611498213</v>
      </c>
      <c r="D121" s="17" cm="1">
        <f t="array" ref="D121">rendimento_cdb(C121,CDI,CDB)</f>
        <v>2429.5525713506249</v>
      </c>
      <c r="E121" s="17" cm="1">
        <f t="array" ref="E121">irpf_regressiva(D121,0.15)</f>
        <v>364.43288999999999</v>
      </c>
      <c r="F121" s="17">
        <v>0</v>
      </c>
      <c r="G121" s="18">
        <f t="shared" si="6"/>
        <v>2065.1196813506249</v>
      </c>
    </row>
    <row r="122" spans="1:7" x14ac:dyDescent="0.25">
      <c r="A122" s="8">
        <v>46143</v>
      </c>
      <c r="B122" s="9" t="s">
        <v>17</v>
      </c>
      <c r="C122" s="15"/>
      <c r="D122" s="15"/>
      <c r="E122" s="15"/>
      <c r="F122" s="15"/>
      <c r="G122" s="16"/>
    </row>
    <row r="123" spans="1:7" x14ac:dyDescent="0.25">
      <c r="A123" s="10">
        <v>46174</v>
      </c>
      <c r="B123" s="11" t="s">
        <v>17</v>
      </c>
      <c r="C123" s="17"/>
      <c r="D123" s="17"/>
      <c r="E123" s="17"/>
      <c r="F123" s="17"/>
      <c r="G123" s="18"/>
    </row>
    <row r="124" spans="1:7" x14ac:dyDescent="0.25">
      <c r="A124" s="8">
        <v>46204</v>
      </c>
      <c r="B124" s="9" t="s">
        <v>17</v>
      </c>
      <c r="C124" s="15"/>
      <c r="D124" s="15"/>
      <c r="E124" s="15"/>
      <c r="F124" s="15"/>
      <c r="G124" s="16"/>
    </row>
    <row r="125" spans="1:7" x14ac:dyDescent="0.25">
      <c r="A125" s="10">
        <v>46235</v>
      </c>
      <c r="B125" s="11" t="s">
        <v>17</v>
      </c>
      <c r="C125" s="17"/>
      <c r="D125" s="17"/>
      <c r="E125" s="17"/>
      <c r="F125" s="17"/>
      <c r="G125" s="18"/>
    </row>
    <row r="126" spans="1:7" x14ac:dyDescent="0.25">
      <c r="A126" s="8">
        <v>46266</v>
      </c>
      <c r="B126" s="9" t="s">
        <v>17</v>
      </c>
      <c r="C126" s="15"/>
      <c r="D126" s="15"/>
      <c r="E126" s="15"/>
      <c r="F126" s="15"/>
      <c r="G126" s="16"/>
    </row>
    <row r="127" spans="1:7" x14ac:dyDescent="0.25">
      <c r="A127" s="10">
        <v>46296</v>
      </c>
      <c r="B127" s="11" t="s">
        <v>17</v>
      </c>
      <c r="C127" s="17"/>
      <c r="D127" s="17"/>
      <c r="E127" s="17"/>
      <c r="F127" s="17"/>
      <c r="G127" s="18"/>
    </row>
    <row r="128" spans="1:7" x14ac:dyDescent="0.25">
      <c r="A128" s="8">
        <v>46327</v>
      </c>
      <c r="B128" s="9" t="s">
        <v>17</v>
      </c>
      <c r="C128" s="15"/>
      <c r="D128" s="15"/>
      <c r="E128" s="15"/>
      <c r="F128" s="15"/>
      <c r="G128" s="16"/>
    </row>
    <row r="129" spans="1:7" x14ac:dyDescent="0.25">
      <c r="A129" s="10">
        <v>46357</v>
      </c>
      <c r="B129" s="11" t="s">
        <v>17</v>
      </c>
      <c r="C129" s="17"/>
      <c r="D129" s="17"/>
      <c r="E129" s="17"/>
      <c r="F129" s="17"/>
      <c r="G129" s="18"/>
    </row>
    <row r="130" spans="1:7" x14ac:dyDescent="0.25">
      <c r="A130" s="8">
        <v>46388</v>
      </c>
      <c r="B130" s="9" t="s">
        <v>17</v>
      </c>
      <c r="C130" s="15"/>
      <c r="D130" s="15"/>
      <c r="E130" s="15"/>
      <c r="F130" s="15"/>
      <c r="G130" s="16"/>
    </row>
    <row r="131" spans="1:7" x14ac:dyDescent="0.25">
      <c r="A131" s="10">
        <v>46419</v>
      </c>
      <c r="B131" s="11" t="s">
        <v>17</v>
      </c>
      <c r="C131" s="17"/>
      <c r="D131" s="17"/>
      <c r="E131" s="17"/>
      <c r="F131" s="17"/>
      <c r="G131" s="18"/>
    </row>
    <row r="132" spans="1:7" x14ac:dyDescent="0.25">
      <c r="A132" s="8">
        <v>46447</v>
      </c>
      <c r="B132" s="9" t="s">
        <v>17</v>
      </c>
      <c r="C132" s="15"/>
      <c r="D132" s="15"/>
      <c r="E132" s="15"/>
      <c r="F132" s="15"/>
      <c r="G132" s="16"/>
    </row>
    <row r="133" spans="1:7" x14ac:dyDescent="0.25">
      <c r="A133" s="10">
        <v>46478</v>
      </c>
      <c r="B133" s="11" t="s">
        <v>17</v>
      </c>
      <c r="C133" s="17"/>
      <c r="D133" s="17"/>
      <c r="E133" s="17"/>
      <c r="F133" s="17"/>
      <c r="G133" s="18"/>
    </row>
    <row r="134" spans="1:7" x14ac:dyDescent="0.25">
      <c r="A134" s="8">
        <v>46508</v>
      </c>
      <c r="B134" s="9" t="s">
        <v>17</v>
      </c>
      <c r="C134" s="15"/>
      <c r="D134" s="15"/>
      <c r="E134" s="15"/>
      <c r="F134" s="15"/>
      <c r="G134" s="16"/>
    </row>
    <row r="135" spans="1:7" x14ac:dyDescent="0.25">
      <c r="A135" s="10">
        <v>46539</v>
      </c>
      <c r="B135" s="11" t="s">
        <v>17</v>
      </c>
      <c r="C135" s="17"/>
      <c r="D135" s="17"/>
      <c r="E135" s="17"/>
      <c r="F135" s="17"/>
      <c r="G135" s="18"/>
    </row>
    <row r="136" spans="1:7" x14ac:dyDescent="0.25">
      <c r="A136" s="8">
        <v>46569</v>
      </c>
      <c r="B136" s="9" t="s">
        <v>17</v>
      </c>
      <c r="C136" s="15"/>
      <c r="D136" s="15"/>
      <c r="E136" s="15"/>
      <c r="F136" s="15"/>
      <c r="G136" s="16"/>
    </row>
    <row r="137" spans="1:7" x14ac:dyDescent="0.25">
      <c r="A137" s="10">
        <v>46600</v>
      </c>
      <c r="B137" s="11" t="s">
        <v>17</v>
      </c>
      <c r="C137" s="17"/>
      <c r="D137" s="17"/>
      <c r="E137" s="17"/>
      <c r="F137" s="17"/>
      <c r="G137" s="18"/>
    </row>
    <row r="138" spans="1:7" x14ac:dyDescent="0.25">
      <c r="A138" s="8">
        <v>46631</v>
      </c>
      <c r="B138" s="9" t="s">
        <v>17</v>
      </c>
      <c r="C138" s="15"/>
      <c r="D138" s="15"/>
      <c r="E138" s="15"/>
      <c r="F138" s="15"/>
      <c r="G138" s="16"/>
    </row>
    <row r="139" spans="1:7" x14ac:dyDescent="0.25">
      <c r="A139" s="10">
        <v>46661</v>
      </c>
      <c r="B139" s="11" t="s">
        <v>17</v>
      </c>
      <c r="C139" s="17"/>
      <c r="D139" s="17"/>
      <c r="E139" s="17"/>
      <c r="F139" s="17"/>
      <c r="G139" s="18"/>
    </row>
    <row r="140" spans="1:7" x14ac:dyDescent="0.25">
      <c r="A140" s="8">
        <v>46692</v>
      </c>
      <c r="B140" s="9" t="s">
        <v>17</v>
      </c>
      <c r="C140" s="15"/>
      <c r="D140" s="15"/>
      <c r="E140" s="15"/>
      <c r="F140" s="15"/>
      <c r="G140" s="16"/>
    </row>
    <row r="141" spans="1:7" x14ac:dyDescent="0.25">
      <c r="A141" s="10">
        <v>46722</v>
      </c>
      <c r="B141" s="11" t="s">
        <v>17</v>
      </c>
      <c r="C141" s="17"/>
      <c r="D141" s="17"/>
      <c r="E141" s="17"/>
      <c r="F141" s="17"/>
      <c r="G141" s="18"/>
    </row>
    <row r="142" spans="1:7" x14ac:dyDescent="0.25">
      <c r="A142" s="8">
        <v>46753</v>
      </c>
      <c r="B142" s="9" t="s">
        <v>17</v>
      </c>
      <c r="C142" s="15"/>
      <c r="D142" s="15"/>
      <c r="E142" s="15"/>
      <c r="F142" s="15"/>
      <c r="G142" s="16"/>
    </row>
    <row r="143" spans="1:7" x14ac:dyDescent="0.25">
      <c r="A143" s="10">
        <v>46784</v>
      </c>
      <c r="B143" s="11" t="s">
        <v>17</v>
      </c>
      <c r="C143" s="17"/>
      <c r="D143" s="17"/>
      <c r="E143" s="17"/>
      <c r="F143" s="17"/>
      <c r="G143" s="18"/>
    </row>
    <row r="144" spans="1:7" x14ac:dyDescent="0.25">
      <c r="A144" s="8">
        <v>46813</v>
      </c>
      <c r="B144" s="9" t="s">
        <v>17</v>
      </c>
      <c r="C144" s="15"/>
      <c r="D144" s="15"/>
      <c r="E144" s="15"/>
      <c r="F144" s="15"/>
      <c r="G144" s="16"/>
    </row>
    <row r="145" spans="1:7" x14ac:dyDescent="0.25">
      <c r="A145" s="10">
        <v>46844</v>
      </c>
      <c r="B145" s="11" t="s">
        <v>17</v>
      </c>
      <c r="C145" s="17"/>
      <c r="D145" s="17"/>
      <c r="E145" s="17"/>
      <c r="F145" s="17"/>
      <c r="G145" s="18"/>
    </row>
    <row r="146" spans="1:7" x14ac:dyDescent="0.25">
      <c r="A146" s="8">
        <v>46874</v>
      </c>
      <c r="B146" s="9" t="s">
        <v>17</v>
      </c>
      <c r="C146" s="15"/>
      <c r="D146" s="15"/>
      <c r="E146" s="15"/>
      <c r="F146" s="15"/>
      <c r="G146" s="16"/>
    </row>
    <row r="147" spans="1:7" x14ac:dyDescent="0.25">
      <c r="A147" s="10">
        <v>46905</v>
      </c>
      <c r="B147" s="11" t="s">
        <v>17</v>
      </c>
      <c r="C147" s="17"/>
      <c r="D147" s="17"/>
      <c r="E147" s="17"/>
      <c r="F147" s="17"/>
      <c r="G147" s="18"/>
    </row>
    <row r="148" spans="1:7" x14ac:dyDescent="0.25">
      <c r="A148" s="8">
        <v>46935</v>
      </c>
      <c r="B148" s="9" t="s">
        <v>17</v>
      </c>
      <c r="C148" s="15"/>
      <c r="D148" s="15"/>
      <c r="E148" s="15"/>
      <c r="F148" s="15"/>
      <c r="G148" s="16"/>
    </row>
    <row r="149" spans="1:7" x14ac:dyDescent="0.25">
      <c r="A149" s="10">
        <v>46966</v>
      </c>
      <c r="B149" s="11" t="s">
        <v>17</v>
      </c>
      <c r="C149" s="17"/>
      <c r="D149" s="17"/>
      <c r="E149" s="17"/>
      <c r="F149" s="17"/>
      <c r="G149" s="18"/>
    </row>
    <row r="150" spans="1:7" x14ac:dyDescent="0.25">
      <c r="A150" s="8">
        <v>46997</v>
      </c>
      <c r="B150" s="9" t="s">
        <v>17</v>
      </c>
      <c r="C150" s="15"/>
      <c r="D150" s="15"/>
      <c r="E150" s="15"/>
      <c r="F150" s="15"/>
      <c r="G150" s="16"/>
    </row>
    <row r="151" spans="1:7" x14ac:dyDescent="0.25">
      <c r="A151" s="10">
        <v>47027</v>
      </c>
      <c r="B151" s="11" t="s">
        <v>17</v>
      </c>
      <c r="C151" s="17"/>
      <c r="D151" s="17"/>
      <c r="E151" s="17"/>
      <c r="F151" s="17"/>
      <c r="G151" s="18"/>
    </row>
    <row r="152" spans="1:7" x14ac:dyDescent="0.25">
      <c r="A152" s="8">
        <v>47058</v>
      </c>
      <c r="B152" s="9" t="s">
        <v>17</v>
      </c>
      <c r="C152" s="15"/>
      <c r="D152" s="15"/>
      <c r="E152" s="15"/>
      <c r="F152" s="15"/>
      <c r="G152" s="16"/>
    </row>
    <row r="153" spans="1:7" x14ac:dyDescent="0.25">
      <c r="A153" s="10">
        <v>47088</v>
      </c>
      <c r="B153" s="11" t="s">
        <v>17</v>
      </c>
      <c r="C153" s="17"/>
      <c r="D153" s="17"/>
      <c r="E153" s="17"/>
      <c r="F153" s="17"/>
      <c r="G153" s="18"/>
    </row>
    <row r="154" spans="1:7" x14ac:dyDescent="0.25">
      <c r="A154" s="8">
        <v>47119</v>
      </c>
      <c r="B154" s="9" t="s">
        <v>17</v>
      </c>
      <c r="C154" s="15"/>
      <c r="D154" s="15"/>
      <c r="E154" s="15"/>
      <c r="F154" s="15"/>
      <c r="G154" s="16"/>
    </row>
    <row r="155" spans="1:7" x14ac:dyDescent="0.25">
      <c r="A155" s="10">
        <v>47150</v>
      </c>
      <c r="B155" s="11" t="s">
        <v>17</v>
      </c>
      <c r="C155" s="17"/>
      <c r="D155" s="17"/>
      <c r="E155" s="17"/>
      <c r="F155" s="17"/>
      <c r="G155" s="18"/>
    </row>
    <row r="156" spans="1:7" x14ac:dyDescent="0.25">
      <c r="A156" s="8">
        <v>47178</v>
      </c>
      <c r="B156" s="9" t="s">
        <v>17</v>
      </c>
      <c r="C156" s="15"/>
      <c r="D156" s="15"/>
      <c r="E156" s="15"/>
      <c r="F156" s="15"/>
      <c r="G156" s="16"/>
    </row>
    <row r="157" spans="1:7" x14ac:dyDescent="0.25">
      <c r="A157" s="10">
        <v>47209</v>
      </c>
      <c r="B157" s="11" t="s">
        <v>17</v>
      </c>
      <c r="C157" s="17"/>
      <c r="D157" s="17"/>
      <c r="E157" s="17"/>
      <c r="F157" s="17"/>
      <c r="G157" s="18"/>
    </row>
    <row r="158" spans="1:7" x14ac:dyDescent="0.25">
      <c r="A158" s="8">
        <v>47239</v>
      </c>
      <c r="B158" s="9" t="s">
        <v>17</v>
      </c>
      <c r="C158" s="15"/>
      <c r="D158" s="15"/>
      <c r="E158" s="15"/>
      <c r="F158" s="15"/>
      <c r="G158" s="16"/>
    </row>
    <row r="159" spans="1:7" x14ac:dyDescent="0.25">
      <c r="A159" s="10">
        <v>47270</v>
      </c>
      <c r="B159" s="11" t="s">
        <v>17</v>
      </c>
      <c r="C159" s="17"/>
      <c r="D159" s="17"/>
      <c r="E159" s="17"/>
      <c r="F159" s="17"/>
      <c r="G159" s="18"/>
    </row>
    <row r="160" spans="1:7" x14ac:dyDescent="0.25">
      <c r="A160" s="8">
        <v>47300</v>
      </c>
      <c r="B160" s="9" t="s">
        <v>17</v>
      </c>
      <c r="C160" s="15"/>
      <c r="D160" s="15"/>
      <c r="E160" s="15"/>
      <c r="F160" s="15"/>
      <c r="G160" s="16"/>
    </row>
    <row r="161" spans="1:7" x14ac:dyDescent="0.25">
      <c r="A161" s="10">
        <v>47331</v>
      </c>
      <c r="B161" s="11" t="s">
        <v>17</v>
      </c>
      <c r="C161" s="17"/>
      <c r="D161" s="17"/>
      <c r="E161" s="17"/>
      <c r="F161" s="17"/>
      <c r="G161" s="18"/>
    </row>
    <row r="162" spans="1:7" x14ac:dyDescent="0.25">
      <c r="A162" s="8">
        <v>47362</v>
      </c>
      <c r="B162" s="9" t="s">
        <v>17</v>
      </c>
      <c r="C162" s="15"/>
      <c r="D162" s="15"/>
      <c r="E162" s="15"/>
      <c r="F162" s="15"/>
      <c r="G162" s="16"/>
    </row>
    <row r="163" spans="1:7" x14ac:dyDescent="0.25">
      <c r="A163" s="10">
        <v>47392</v>
      </c>
      <c r="B163" s="11" t="s">
        <v>17</v>
      </c>
      <c r="C163" s="17"/>
      <c r="D163" s="17"/>
      <c r="E163" s="17"/>
      <c r="F163" s="17"/>
      <c r="G163" s="18"/>
    </row>
    <row r="164" spans="1:7" x14ac:dyDescent="0.25">
      <c r="A164" s="8">
        <v>47423</v>
      </c>
      <c r="B164" s="9" t="s">
        <v>17</v>
      </c>
      <c r="C164" s="15"/>
      <c r="D164" s="15"/>
      <c r="E164" s="15"/>
      <c r="F164" s="15"/>
      <c r="G164" s="16"/>
    </row>
    <row r="165" spans="1:7" x14ac:dyDescent="0.25">
      <c r="A165" s="10">
        <v>47453</v>
      </c>
      <c r="B165" s="11" t="s">
        <v>17</v>
      </c>
      <c r="C165" s="17"/>
      <c r="D165" s="17"/>
      <c r="E165" s="17"/>
      <c r="F165" s="17"/>
      <c r="G165" s="18"/>
    </row>
    <row r="166" spans="1:7" x14ac:dyDescent="0.25">
      <c r="A166" s="8">
        <v>47484</v>
      </c>
      <c r="B166" s="9" t="s">
        <v>17</v>
      </c>
      <c r="C166" s="15"/>
      <c r="D166" s="15"/>
      <c r="E166" s="15"/>
      <c r="F166" s="15"/>
      <c r="G166" s="16"/>
    </row>
    <row r="167" spans="1:7" x14ac:dyDescent="0.25">
      <c r="A167" s="10">
        <v>47515</v>
      </c>
      <c r="B167" s="11" t="s">
        <v>17</v>
      </c>
      <c r="C167" s="17"/>
      <c r="D167" s="17"/>
      <c r="E167" s="17"/>
      <c r="F167" s="17"/>
      <c r="G167" s="18"/>
    </row>
    <row r="168" spans="1:7" x14ac:dyDescent="0.25">
      <c r="A168" s="8">
        <v>47543</v>
      </c>
      <c r="B168" s="9" t="s">
        <v>17</v>
      </c>
      <c r="C168" s="15"/>
      <c r="D168" s="15"/>
      <c r="E168" s="15"/>
      <c r="F168" s="15"/>
      <c r="G168" s="16"/>
    </row>
    <row r="169" spans="1:7" x14ac:dyDescent="0.25">
      <c r="A169" s="10">
        <v>47574</v>
      </c>
      <c r="B169" s="11" t="s">
        <v>17</v>
      </c>
      <c r="C169" s="17"/>
      <c r="D169" s="17"/>
      <c r="E169" s="17"/>
      <c r="F169" s="17"/>
      <c r="G169" s="18"/>
    </row>
    <row r="170" spans="1:7" x14ac:dyDescent="0.25">
      <c r="A170" s="8">
        <v>47604</v>
      </c>
      <c r="B170" s="9" t="s">
        <v>17</v>
      </c>
      <c r="C170" s="15"/>
      <c r="D170" s="15"/>
      <c r="E170" s="15"/>
      <c r="F170" s="15"/>
      <c r="G170" s="16"/>
    </row>
    <row r="171" spans="1:7" x14ac:dyDescent="0.25">
      <c r="A171" s="10">
        <v>47635</v>
      </c>
      <c r="B171" s="11" t="s">
        <v>17</v>
      </c>
      <c r="C171" s="17"/>
      <c r="D171" s="17"/>
      <c r="E171" s="17"/>
      <c r="F171" s="17"/>
      <c r="G171" s="18"/>
    </row>
    <row r="172" spans="1:7" x14ac:dyDescent="0.25">
      <c r="A172" s="8">
        <v>47665</v>
      </c>
      <c r="B172" s="9" t="s">
        <v>17</v>
      </c>
      <c r="C172" s="15"/>
      <c r="D172" s="15"/>
      <c r="E172" s="15"/>
      <c r="F172" s="15"/>
      <c r="G172" s="16"/>
    </row>
    <row r="173" spans="1:7" x14ac:dyDescent="0.25">
      <c r="A173" s="10">
        <v>47696</v>
      </c>
      <c r="B173" s="11" t="s">
        <v>17</v>
      </c>
      <c r="C173" s="17"/>
      <c r="D173" s="17"/>
      <c r="E173" s="17"/>
      <c r="F173" s="17"/>
      <c r="G173" s="18"/>
    </row>
    <row r="174" spans="1:7" x14ac:dyDescent="0.25">
      <c r="A174" s="8">
        <v>47727</v>
      </c>
      <c r="B174" s="9" t="s">
        <v>17</v>
      </c>
      <c r="C174" s="15"/>
      <c r="D174" s="15"/>
      <c r="E174" s="15"/>
      <c r="F174" s="15"/>
      <c r="G174" s="16"/>
    </row>
    <row r="175" spans="1:7" x14ac:dyDescent="0.25">
      <c r="A175" s="10">
        <v>47757</v>
      </c>
      <c r="B175" s="11" t="s">
        <v>17</v>
      </c>
      <c r="C175" s="17"/>
      <c r="D175" s="17"/>
      <c r="E175" s="17"/>
      <c r="F175" s="17"/>
      <c r="G175" s="18"/>
    </row>
    <row r="176" spans="1:7" x14ac:dyDescent="0.25">
      <c r="A176" s="8">
        <v>47788</v>
      </c>
      <c r="B176" s="9" t="s">
        <v>17</v>
      </c>
      <c r="C176" s="15"/>
      <c r="D176" s="15"/>
      <c r="E176" s="15"/>
      <c r="F176" s="15"/>
      <c r="G176" s="16"/>
    </row>
    <row r="177" spans="1:7" x14ac:dyDescent="0.25">
      <c r="A177" s="10">
        <v>47818</v>
      </c>
      <c r="B177" s="11" t="s">
        <v>17</v>
      </c>
      <c r="C177" s="17"/>
      <c r="D177" s="17"/>
      <c r="E177" s="17"/>
      <c r="F177" s="17"/>
      <c r="G177" s="18"/>
    </row>
    <row r="178" spans="1:7" x14ac:dyDescent="0.25">
      <c r="A178" s="8">
        <v>47849</v>
      </c>
      <c r="B178" s="9" t="s">
        <v>17</v>
      </c>
      <c r="C178" s="15"/>
      <c r="D178" s="15"/>
      <c r="E178" s="15"/>
      <c r="F178" s="15"/>
      <c r="G178" s="16"/>
    </row>
    <row r="179" spans="1:7" x14ac:dyDescent="0.25">
      <c r="A179" s="10">
        <v>47880</v>
      </c>
      <c r="B179" s="11" t="s">
        <v>17</v>
      </c>
      <c r="C179" s="17"/>
      <c r="D179" s="17"/>
      <c r="E179" s="15"/>
      <c r="F179" s="15"/>
      <c r="G179" s="18"/>
    </row>
    <row r="180" spans="1:7" x14ac:dyDescent="0.25">
      <c r="A180" s="8">
        <v>47908</v>
      </c>
      <c r="B180" s="9" t="s">
        <v>17</v>
      </c>
      <c r="C180" s="15"/>
      <c r="D180" s="15"/>
      <c r="E180" s="15"/>
      <c r="F180" s="15"/>
      <c r="G180" s="16"/>
    </row>
    <row r="181" spans="1:7" x14ac:dyDescent="0.25">
      <c r="A181" s="12">
        <v>47939</v>
      </c>
      <c r="B181" s="5" t="s">
        <v>17</v>
      </c>
      <c r="C181" s="19"/>
      <c r="D181" s="19"/>
      <c r="E181" s="15"/>
      <c r="F181" s="15"/>
      <c r="G181" s="20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8</vt:i4>
      </vt:variant>
    </vt:vector>
  </HeadingPairs>
  <TitlesOfParts>
    <vt:vector size="10" baseType="lpstr">
      <vt:lpstr>informações basicas</vt:lpstr>
      <vt:lpstr>rendimentos mensais calculos</vt:lpstr>
      <vt:lpstr>ADMIN_IMOB</vt:lpstr>
      <vt:lpstr>CDB</vt:lpstr>
      <vt:lpstr>CDI</vt:lpstr>
      <vt:lpstr>IGPM</vt:lpstr>
      <vt:lpstr>IPCA</vt:lpstr>
      <vt:lpstr>selic</vt:lpstr>
      <vt:lpstr>TR</vt:lpstr>
      <vt:lpstr>VALOR_IMOVEL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leite</dc:creator>
  <cp:lastModifiedBy>sergio leite</cp:lastModifiedBy>
  <dcterms:created xsi:type="dcterms:W3CDTF">2015-06-05T18:19:34Z</dcterms:created>
  <dcterms:modified xsi:type="dcterms:W3CDTF">2026-04-27T12:27:17Z</dcterms:modified>
</cp:coreProperties>
</file>