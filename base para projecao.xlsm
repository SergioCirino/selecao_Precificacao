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44c8030bfb8e663c/00 caixa/AAA PRODUÇÕES TEMÁTICAS/selecao_Precificacao/"/>
    </mc:Choice>
  </mc:AlternateContent>
  <xr:revisionPtr revIDLastSave="489" documentId="13_ncr:1_{F0725620-E73A-4D38-BF74-F3328B9A10C8}" xr6:coauthVersionLast="47" xr6:coauthVersionMax="47" xr10:uidLastSave="{5DC66875-0ECE-4E56-95E9-BE1B7B42E0C9}"/>
  <bookViews>
    <workbookView xWindow="-120" yWindow="-120" windowWidth="20640" windowHeight="11040" activeTab="1" xr2:uid="{00000000-000D-0000-FFFF-FFFF00000000}"/>
  </bookViews>
  <sheets>
    <sheet name="informações basicas" sheetId="1" r:id="rId1"/>
    <sheet name="rendimentos mensais calculos" sheetId="2" r:id="rId2"/>
    <sheet name="Aluguel" sheetId="6" r:id="rId3"/>
    <sheet name="Poupança" sheetId="4" r:id="rId4"/>
    <sheet name="CDB" sheetId="5" r:id="rId5"/>
    <sheet name="bases para graficos" sheetId="3" r:id="rId6"/>
  </sheets>
  <functionGroups builtInGroupCount="19"/>
  <definedNames>
    <definedName name="_xleta.SUM" hidden="1" xlm="1">#NAME?</definedName>
    <definedName name="_xleta.VALUE" hidden="1" xlm="1">#NAME?</definedName>
    <definedName name="ADMIN_IMOB">'informações basicas'!$B$8</definedName>
    <definedName name="CDB">'informações basicas'!$B$7</definedName>
    <definedName name="CDI">'informações basicas'!$B$4</definedName>
    <definedName name="data_inicial">Tabela2[Inicio]</definedName>
    <definedName name="IGPM">'informações basicas'!$B$5</definedName>
    <definedName name="IPCA">'informações basicas'!$B$6</definedName>
    <definedName name="selic">'informações basicas'!$B$2</definedName>
    <definedName name="TR">'informações basicas'!$B$3</definedName>
    <definedName name="VALOR_IMOVEL">'informações basicas'!$B$9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74" i="2" l="1"/>
  <c r="W74" i="2"/>
  <c r="X74" i="2"/>
  <c r="X66" i="2"/>
  <c r="X67" i="2"/>
  <c r="X68" i="2"/>
  <c r="X69" i="2"/>
  <c r="X70" i="2"/>
  <c r="X65" i="2"/>
  <c r="M2" i="2"/>
  <c r="L4" i="2" a="1"/>
  <c r="L4" i="2" s="1"/>
  <c r="L5" i="2" a="1"/>
  <c r="L5" i="2" s="1"/>
  <c r="L6" i="2" a="1"/>
  <c r="L6" i="2" s="1"/>
  <c r="L7" i="2" a="1"/>
  <c r="L7" i="2" s="1"/>
  <c r="L8" i="2" a="1"/>
  <c r="L8" i="2" s="1"/>
  <c r="L9" i="2" a="1"/>
  <c r="L9" i="2" s="1"/>
  <c r="L10" i="2" a="1"/>
  <c r="L10" i="2" s="1"/>
  <c r="L11" i="2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38" i="2" a="1"/>
  <c r="L38" i="2" s="1"/>
  <c r="L39" i="2" a="1"/>
  <c r="L39" i="2" s="1"/>
  <c r="L40" i="2" a="1"/>
  <c r="L40" i="2" s="1"/>
  <c r="L41" i="2" a="1"/>
  <c r="L41" i="2" s="1"/>
  <c r="L42" i="2" a="1"/>
  <c r="L42" i="2" s="1"/>
  <c r="L43" i="2" a="1"/>
  <c r="L43" i="2" s="1"/>
  <c r="L44" i="2" a="1"/>
  <c r="L44" i="2" s="1"/>
  <c r="L45" i="2" a="1"/>
  <c r="L45" i="2" s="1"/>
  <c r="L46" i="2" a="1"/>
  <c r="L46" i="2" s="1"/>
  <c r="L47" i="2" a="1"/>
  <c r="L47" i="2" s="1"/>
  <c r="L48" i="2" a="1"/>
  <c r="L48" i="2" s="1"/>
  <c r="L49" i="2" a="1"/>
  <c r="L49" i="2" s="1"/>
  <c r="L50" i="2" a="1"/>
  <c r="L50" i="2" s="1"/>
  <c r="L51" i="2" a="1"/>
  <c r="L51" i="2" s="1"/>
  <c r="L52" i="2" a="1"/>
  <c r="L52" i="2" s="1"/>
  <c r="L53" i="2" a="1"/>
  <c r="L53" i="2" s="1"/>
  <c r="L54" i="2" a="1"/>
  <c r="L54" i="2" s="1"/>
  <c r="L55" i="2" a="1"/>
  <c r="L55" i="2" s="1"/>
  <c r="L56" i="2" a="1"/>
  <c r="L56" i="2" s="1"/>
  <c r="L57" i="2" a="1"/>
  <c r="L57" i="2" s="1"/>
  <c r="L58" i="2" a="1"/>
  <c r="L58" i="2" s="1"/>
  <c r="L59" i="2" a="1"/>
  <c r="L59" i="2" s="1"/>
  <c r="L60" i="2" a="1"/>
  <c r="L60" i="2" s="1"/>
  <c r="L61" i="2" a="1"/>
  <c r="L61" i="2" s="1"/>
  <c r="L3" i="2" a="1"/>
  <c r="L3" i="2" s="1"/>
  <c r="N3" i="2"/>
  <c r="E2" i="2" a="1"/>
  <c r="E2" i="2" s="1"/>
  <c r="G2" i="2" s="1"/>
  <c r="AA2" i="2" a="1"/>
  <c r="AA2" i="2" s="1"/>
  <c r="O22" i="2" a="1"/>
  <c r="O22" i="2" s="1"/>
  <c r="J67" i="2" s="1"/>
  <c r="O23" i="2" a="1"/>
  <c r="O23" i="2" s="1"/>
  <c r="O24" i="2" a="1"/>
  <c r="O24" i="2" s="1"/>
  <c r="O25" i="2" a="1"/>
  <c r="O25" i="2" s="1"/>
  <c r="O26" i="2" a="1"/>
  <c r="O26" i="2" s="1"/>
  <c r="M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J68" i="2" s="1"/>
  <c r="O35" i="2" a="1"/>
  <c r="O35" i="2" s="1"/>
  <c r="O36" i="2" a="1"/>
  <c r="O36" i="2" s="1"/>
  <c r="O37" i="2" a="1"/>
  <c r="O37" i="2" s="1"/>
  <c r="O38" i="2" a="1"/>
  <c r="O38" i="2" s="1"/>
  <c r="M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46" i="2" a="1"/>
  <c r="O46" i="2" s="1"/>
  <c r="O47" i="2" a="1"/>
  <c r="O47" i="2" s="1"/>
  <c r="O48" i="2" a="1"/>
  <c r="O48" i="2" s="1"/>
  <c r="O49" i="2" a="1"/>
  <c r="O49" i="2" s="1"/>
  <c r="O50" i="2" a="1"/>
  <c r="O50" i="2" s="1"/>
  <c r="M50" i="2" s="1"/>
  <c r="O51" i="2" a="1"/>
  <c r="O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J70" i="2" s="1"/>
  <c r="O59" i="2" a="1"/>
  <c r="O59" i="2" s="1"/>
  <c r="O60" i="2" a="1"/>
  <c r="O60" i="2" s="1"/>
  <c r="O61" i="2" a="1"/>
  <c r="O61" i="2" s="1"/>
  <c r="O11" i="2" a="1"/>
  <c r="O11" i="2" s="1"/>
  <c r="O12" i="2" a="1"/>
  <c r="O12" i="2" s="1"/>
  <c r="O13" i="2" a="1"/>
  <c r="O13" i="2" s="1"/>
  <c r="O14" i="2" a="1"/>
  <c r="O14" i="2" s="1"/>
  <c r="M14" i="2" s="1"/>
  <c r="O15" i="2" a="1"/>
  <c r="O15" i="2" s="1"/>
  <c r="O16" i="2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4" i="2" a="1"/>
  <c r="O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J66" i="2" s="1"/>
  <c r="O3" i="2" a="1"/>
  <c r="O3" i="2" s="1"/>
  <c r="J65" i="2" s="1"/>
  <c r="R2" i="2"/>
  <c r="S2" i="2"/>
  <c r="T2" i="2" l="1"/>
  <c r="J69" i="2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AB2" i="2" a="1"/>
  <c r="AB2" i="2" s="1"/>
  <c r="Z3" i="2"/>
  <c r="U2" i="2"/>
  <c r="R4" i="2"/>
  <c r="S4" i="2"/>
  <c r="T4" i="2" s="1"/>
  <c r="R5" i="2"/>
  <c r="S5" i="2"/>
  <c r="S6" i="2"/>
  <c r="R6" i="2"/>
  <c r="U6" i="2" s="1"/>
  <c r="Q6" i="2" s="1"/>
  <c r="S7" i="2"/>
  <c r="R7" i="2"/>
  <c r="S8" i="2"/>
  <c r="R8" i="2"/>
  <c r="U8" i="2" s="1"/>
  <c r="Q8" i="2" s="1"/>
  <c r="S9" i="2"/>
  <c r="R9" i="2"/>
  <c r="U9" i="2" s="1"/>
  <c r="Q9" i="2" s="1"/>
  <c r="S10" i="2"/>
  <c r="R10" i="2"/>
  <c r="U10" i="2" s="1"/>
  <c r="R11" i="2"/>
  <c r="S11" i="2"/>
  <c r="T11" i="2" s="1"/>
  <c r="S12" i="2"/>
  <c r="R12" i="2"/>
  <c r="U12" i="2" s="1"/>
  <c r="Q12" i="2" s="1"/>
  <c r="R13" i="2"/>
  <c r="S13" i="2"/>
  <c r="R14" i="2"/>
  <c r="S14" i="2"/>
  <c r="T14" i="2" s="1"/>
  <c r="R15" i="2"/>
  <c r="S15" i="2"/>
  <c r="R16" i="2"/>
  <c r="S16" i="2"/>
  <c r="S17" i="2"/>
  <c r="R17" i="2"/>
  <c r="R18" i="2"/>
  <c r="S18" i="2"/>
  <c r="T18" i="2" s="1"/>
  <c r="R19" i="2"/>
  <c r="S19" i="2"/>
  <c r="T19" i="2" s="1"/>
  <c r="R20" i="2"/>
  <c r="S20" i="2"/>
  <c r="T20" i="2" s="1"/>
  <c r="S21" i="2"/>
  <c r="R21" i="2"/>
  <c r="R22" i="2"/>
  <c r="S22" i="2"/>
  <c r="T22" i="2" s="1"/>
  <c r="R23" i="2"/>
  <c r="S23" i="2"/>
  <c r="R24" i="2"/>
  <c r="S24" i="2"/>
  <c r="T24" i="2" s="1"/>
  <c r="R25" i="2"/>
  <c r="S25" i="2"/>
  <c r="T25" i="2" s="1"/>
  <c r="R26" i="2"/>
  <c r="S26" i="2"/>
  <c r="T26" i="2" s="1"/>
  <c r="S27" i="2"/>
  <c r="R27" i="2"/>
  <c r="U27" i="2" s="1"/>
  <c r="Q27" i="2" s="1"/>
  <c r="S28" i="2"/>
  <c r="R28" i="2"/>
  <c r="U28" i="2" s="1"/>
  <c r="Q28" i="2" s="1"/>
  <c r="R29" i="2"/>
  <c r="S29" i="2"/>
  <c r="T29" i="2" s="1"/>
  <c r="S30" i="2"/>
  <c r="R30" i="2"/>
  <c r="U30" i="2" s="1"/>
  <c r="Q30" i="2" s="1"/>
  <c r="S31" i="2"/>
  <c r="R31" i="2"/>
  <c r="S32" i="2"/>
  <c r="R32" i="2"/>
  <c r="R33" i="2"/>
  <c r="S33" i="2"/>
  <c r="T33" i="2" s="1"/>
  <c r="S34" i="2"/>
  <c r="R34" i="2"/>
  <c r="U34" i="2" s="1"/>
  <c r="S35" i="2"/>
  <c r="R35" i="2"/>
  <c r="S36" i="2"/>
  <c r="R36" i="2"/>
  <c r="U36" i="2" s="1"/>
  <c r="Q36" i="2" s="1"/>
  <c r="S37" i="2"/>
  <c r="R37" i="2"/>
  <c r="U37" i="2" s="1"/>
  <c r="Q37" i="2" s="1"/>
  <c r="S38" i="2"/>
  <c r="R38" i="2"/>
  <c r="U38" i="2" s="1"/>
  <c r="Q38" i="2" s="1"/>
  <c r="S39" i="2"/>
  <c r="R39" i="2"/>
  <c r="U39" i="2" s="1"/>
  <c r="Q39" i="2" s="1"/>
  <c r="R40" i="2"/>
  <c r="S40" i="2"/>
  <c r="T40" i="2" s="1"/>
  <c r="S41" i="2"/>
  <c r="R41" i="2"/>
  <c r="R42" i="2"/>
  <c r="S42" i="2"/>
  <c r="R43" i="2"/>
  <c r="S43" i="2"/>
  <c r="T43" i="2" s="1"/>
  <c r="S44" i="2"/>
  <c r="R44" i="2"/>
  <c r="S45" i="2"/>
  <c r="R45" i="2"/>
  <c r="R46" i="2"/>
  <c r="S46" i="2"/>
  <c r="T46" i="2" s="1"/>
  <c r="R47" i="2"/>
  <c r="S47" i="2"/>
  <c r="R48" i="2"/>
  <c r="S48" i="2"/>
  <c r="T48" i="2" s="1"/>
  <c r="R49" i="2"/>
  <c r="S49" i="2"/>
  <c r="T49" i="2" s="1"/>
  <c r="S50" i="2"/>
  <c r="R50" i="2"/>
  <c r="R51" i="2"/>
  <c r="S51" i="2"/>
  <c r="T51" i="2" s="1"/>
  <c r="R52" i="2"/>
  <c r="S52" i="2"/>
  <c r="R53" i="2"/>
  <c r="S53" i="2"/>
  <c r="T53" i="2" s="1"/>
  <c r="R54" i="2"/>
  <c r="U54" i="2" s="1"/>
  <c r="Q54" i="2" s="1"/>
  <c r="S54" i="2"/>
  <c r="R55" i="2"/>
  <c r="S55" i="2"/>
  <c r="T55" i="2" s="1"/>
  <c r="R56" i="2"/>
  <c r="S56" i="2"/>
  <c r="T56" i="2" s="1"/>
  <c r="S57" i="2"/>
  <c r="R57" i="2"/>
  <c r="U57" i="2" s="1"/>
  <c r="Q57" i="2" s="1"/>
  <c r="R58" i="2"/>
  <c r="S58" i="2"/>
  <c r="T58" i="2" s="1"/>
  <c r="S59" i="2"/>
  <c r="R59" i="2"/>
  <c r="R60" i="2"/>
  <c r="S60" i="2"/>
  <c r="T60" i="2" s="1"/>
  <c r="S61" i="2"/>
  <c r="R61" i="2"/>
  <c r="R3" i="2"/>
  <c r="S3" i="2"/>
  <c r="T3" i="2" s="1"/>
  <c r="D3" i="2"/>
  <c r="E3" i="2" s="1" a="1"/>
  <c r="E3" i="2" s="1"/>
  <c r="G3" i="2" s="1"/>
  <c r="T23" i="2" l="1"/>
  <c r="T32" i="2"/>
  <c r="T8" i="2"/>
  <c r="T42" i="2"/>
  <c r="T9" i="2"/>
  <c r="T10" i="2"/>
  <c r="T12" i="2"/>
  <c r="T61" i="2"/>
  <c r="T5" i="2"/>
  <c r="T7" i="2"/>
  <c r="Q10" i="2"/>
  <c r="Q34" i="2"/>
  <c r="T21" i="2"/>
  <c r="T27" i="2"/>
  <c r="T28" i="2"/>
  <c r="T6" i="2"/>
  <c r="T17" i="2"/>
  <c r="T34" i="2"/>
  <c r="T35" i="2"/>
  <c r="T36" i="2"/>
  <c r="T37" i="2"/>
  <c r="T38" i="2"/>
  <c r="T39" i="2"/>
  <c r="T41" i="2"/>
  <c r="T44" i="2"/>
  <c r="T45" i="2"/>
  <c r="T50" i="2"/>
  <c r="T57" i="2"/>
  <c r="T59" i="2"/>
  <c r="K70" i="2" s="1"/>
  <c r="T30" i="2"/>
  <c r="T31" i="2"/>
  <c r="T54" i="2"/>
  <c r="P3" i="2"/>
  <c r="Q2" i="2"/>
  <c r="U13" i="2"/>
  <c r="Q13" i="2" s="1"/>
  <c r="T13" i="2"/>
  <c r="U15" i="2"/>
  <c r="Q15" i="2" s="1"/>
  <c r="T15" i="2"/>
  <c r="U16" i="2"/>
  <c r="Q16" i="2" s="1"/>
  <c r="T16" i="2"/>
  <c r="U47" i="2"/>
  <c r="Q47" i="2" s="1"/>
  <c r="T47" i="2"/>
  <c r="U52" i="2"/>
  <c r="Q52" i="2" s="1"/>
  <c r="T52" i="2"/>
  <c r="U31" i="2"/>
  <c r="Q31" i="2" s="1"/>
  <c r="U59" i="2"/>
  <c r="Q59" i="2" s="1"/>
  <c r="U32" i="2"/>
  <c r="Q32" i="2" s="1"/>
  <c r="U21" i="2"/>
  <c r="Q21" i="2" s="1"/>
  <c r="U17" i="2"/>
  <c r="Q17" i="2" s="1"/>
  <c r="U40" i="2"/>
  <c r="Q40" i="2" s="1"/>
  <c r="U41" i="2"/>
  <c r="Q41" i="2" s="1"/>
  <c r="U49" i="2"/>
  <c r="Q49" i="2" s="1"/>
  <c r="U58" i="2"/>
  <c r="U7" i="2"/>
  <c r="Q7" i="2" s="1"/>
  <c r="AD2" i="2"/>
  <c r="AA3" i="2" s="1" a="1"/>
  <c r="AA3" i="2" s="1"/>
  <c r="Z4" i="2" s="1"/>
  <c r="U18" i="2"/>
  <c r="Q18" i="2" s="1"/>
  <c r="U46" i="2"/>
  <c r="U25" i="2"/>
  <c r="Q25" i="2" s="1"/>
  <c r="U48" i="2"/>
  <c r="Q48" i="2" s="1"/>
  <c r="U44" i="2"/>
  <c r="Q44" i="2" s="1"/>
  <c r="U3" i="2"/>
  <c r="U51" i="2"/>
  <c r="Q51" i="2" s="1"/>
  <c r="U20" i="2"/>
  <c r="Q20" i="2" s="1"/>
  <c r="U35" i="2"/>
  <c r="U50" i="2"/>
  <c r="Q50" i="2" s="1"/>
  <c r="U4" i="2"/>
  <c r="Q4" i="2" s="1"/>
  <c r="U23" i="2"/>
  <c r="Q23" i="2" s="1"/>
  <c r="U29" i="2"/>
  <c r="Q29" i="2" s="1"/>
  <c r="U11" i="2"/>
  <c r="Q11" i="2" s="1"/>
  <c r="U55" i="2"/>
  <c r="Q55" i="2" s="1"/>
  <c r="U43" i="2"/>
  <c r="Q43" i="2" s="1"/>
  <c r="U33" i="2"/>
  <c r="Q33" i="2" s="1"/>
  <c r="U42" i="2"/>
  <c r="Q42" i="2" s="1"/>
  <c r="U5" i="2"/>
  <c r="Q5" i="2" s="1"/>
  <c r="U14" i="2"/>
  <c r="U19" i="2"/>
  <c r="Q19" i="2" s="1"/>
  <c r="U22" i="2"/>
  <c r="U24" i="2"/>
  <c r="Q24" i="2" s="1"/>
  <c r="U26" i="2"/>
  <c r="Q26" i="2" s="1"/>
  <c r="U61" i="2"/>
  <c r="Q61" i="2" s="1"/>
  <c r="U45" i="2"/>
  <c r="Q45" i="2" s="1"/>
  <c r="U53" i="2"/>
  <c r="Q53" i="2" s="1"/>
  <c r="U60" i="2"/>
  <c r="Q60" i="2" s="1"/>
  <c r="U56" i="2"/>
  <c r="Q56" i="2" s="1"/>
  <c r="K65" i="2" l="1"/>
  <c r="K67" i="2"/>
  <c r="K68" i="2"/>
  <c r="K69" i="2"/>
  <c r="L65" i="2"/>
  <c r="M65" i="2" s="1"/>
  <c r="Q35" i="2"/>
  <c r="L68" i="2"/>
  <c r="M68" i="2" s="1"/>
  <c r="Q14" i="2"/>
  <c r="L66" i="2"/>
  <c r="M66" i="2" s="1"/>
  <c r="K66" i="2"/>
  <c r="Q58" i="2"/>
  <c r="L70" i="2"/>
  <c r="M70" i="2" s="1"/>
  <c r="Q46" i="2"/>
  <c r="L69" i="2"/>
  <c r="M69" i="2" s="1"/>
  <c r="Q22" i="2"/>
  <c r="L67" i="2"/>
  <c r="M67" i="2" s="1"/>
  <c r="P4" i="2"/>
  <c r="Q3" i="2"/>
  <c r="P5" i="2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AB3" i="2" a="1"/>
  <c r="AB3" i="2" s="1"/>
  <c r="D4" i="2"/>
  <c r="E4" i="2" s="1" a="1"/>
  <c r="E4" i="2" s="1"/>
  <c r="G4" i="2" s="1"/>
  <c r="AD3" i="2" l="1"/>
  <c r="AA4" i="2" a="1"/>
  <c r="AA4" i="2" s="1"/>
  <c r="Z5" i="2" s="1"/>
  <c r="AB4" i="2" l="1" a="1"/>
  <c r="AB4" i="2" s="1"/>
  <c r="D5" i="2"/>
  <c r="E5" i="2" s="1" a="1"/>
  <c r="E5" i="2" s="1"/>
  <c r="G5" i="2" s="1"/>
  <c r="AD4" i="2" l="1"/>
  <c r="AA5" i="2" s="1" a="1"/>
  <c r="AA5" i="2" s="1"/>
  <c r="Z6" i="2" l="1"/>
  <c r="AB5" i="2" a="1"/>
  <c r="AB5" i="2" s="1"/>
  <c r="D6" i="2"/>
  <c r="E6" i="2" s="1" a="1"/>
  <c r="E6" i="2" s="1"/>
  <c r="G6" i="2" s="1"/>
  <c r="AD5" i="2" l="1"/>
  <c r="AA6" i="2" s="1" a="1"/>
  <c r="AA6" i="2" s="1"/>
  <c r="Z7" i="2" l="1"/>
  <c r="AB6" i="2" a="1"/>
  <c r="AB6" i="2" s="1"/>
  <c r="AD6" i="2" s="1"/>
  <c r="AA7" i="2" s="1" a="1"/>
  <c r="AA7" i="2" s="1"/>
  <c r="Z8" i="2" s="1"/>
  <c r="D7" i="2"/>
  <c r="E7" i="2" s="1" a="1"/>
  <c r="E7" i="2" s="1"/>
  <c r="G7" i="2" s="1"/>
  <c r="AB7" i="2" l="1" a="1"/>
  <c r="AB7" i="2" s="1"/>
  <c r="AD7" i="2" s="1"/>
  <c r="AA8" i="2" s="1" a="1"/>
  <c r="AA8" i="2" s="1"/>
  <c r="Z9" i="2" s="1"/>
  <c r="D8" i="2" l="1"/>
  <c r="E8" i="2" s="1" a="1"/>
  <c r="E8" i="2" s="1"/>
  <c r="G8" i="2" s="1"/>
  <c r="AB8" i="2" l="1" a="1"/>
  <c r="AB8" i="2" s="1"/>
  <c r="AD8" i="2" s="1"/>
  <c r="AA9" i="2" s="1" a="1"/>
  <c r="AA9" i="2" s="1"/>
  <c r="Z10" i="2" s="1"/>
  <c r="D9" i="2" l="1"/>
  <c r="E9" i="2" s="1" a="1"/>
  <c r="E9" i="2" s="1"/>
  <c r="G9" i="2" s="1"/>
  <c r="AB9" i="2" l="1" a="1"/>
  <c r="AB9" i="2" s="1"/>
  <c r="AD9" i="2" s="1"/>
  <c r="AA10" i="2" s="1" a="1"/>
  <c r="AA10" i="2" s="1"/>
  <c r="Z11" i="2" s="1"/>
  <c r="D10" i="2" l="1"/>
  <c r="E10" i="2" s="1" a="1"/>
  <c r="E10" i="2" s="1"/>
  <c r="G10" i="2" s="1"/>
  <c r="AB10" i="2" l="1" a="1"/>
  <c r="AB10" i="2" s="1"/>
  <c r="AD10" i="2" s="1"/>
  <c r="AA11" i="2" s="1" a="1"/>
  <c r="AA11" i="2" s="1"/>
  <c r="Z12" i="2" s="1"/>
  <c r="D11" i="2" l="1"/>
  <c r="E11" i="2" s="1" a="1"/>
  <c r="E11" i="2" s="1"/>
  <c r="G11" i="2" s="1"/>
  <c r="AB11" i="2" l="1" a="1"/>
  <c r="AB11" i="2" s="1"/>
  <c r="AD11" i="2" s="1"/>
  <c r="AA12" i="2" s="1" a="1"/>
  <c r="AA12" i="2" s="1"/>
  <c r="Z13" i="2" s="1"/>
  <c r="D12" i="2" l="1"/>
  <c r="E12" i="2" s="1" a="1"/>
  <c r="E12" i="2" s="1"/>
  <c r="G12" i="2" s="1"/>
  <c r="AB12" i="2" l="1" a="1"/>
  <c r="AB12" i="2" s="1"/>
  <c r="AD12" i="2" s="1"/>
  <c r="AA13" i="2" s="1" a="1"/>
  <c r="AA13" i="2" s="1"/>
  <c r="Z14" i="2" s="1"/>
  <c r="D13" i="2" l="1"/>
  <c r="E13" i="2" s="1" a="1"/>
  <c r="E13" i="2" s="1"/>
  <c r="G13" i="2" s="1"/>
  <c r="AB13" i="2" l="1" a="1"/>
  <c r="AB13" i="2" s="1"/>
  <c r="AD13" i="2" s="1"/>
  <c r="AA14" i="2" s="1" a="1"/>
  <c r="AA14" i="2" s="1"/>
  <c r="Z15" i="2" s="1"/>
  <c r="D14" i="2" l="1"/>
  <c r="E14" i="2" s="1" a="1"/>
  <c r="E14" i="2" s="1"/>
  <c r="G14" i="2" s="1"/>
  <c r="AB14" i="2" l="1" a="1"/>
  <c r="AB14" i="2" s="1"/>
  <c r="AD14" i="2" s="1"/>
  <c r="AA15" i="2" s="1" a="1"/>
  <c r="AA15" i="2" s="1"/>
  <c r="Z16" i="2" s="1"/>
  <c r="D15" i="2" l="1"/>
  <c r="E15" i="2" s="1" a="1"/>
  <c r="E15" i="2" s="1"/>
  <c r="G15" i="2" s="1"/>
  <c r="AB15" i="2" l="1" a="1"/>
  <c r="AB15" i="2" s="1"/>
  <c r="AD15" i="2" s="1"/>
  <c r="AA16" i="2" s="1" a="1"/>
  <c r="AA16" i="2" s="1"/>
  <c r="Z17" i="2" s="1"/>
  <c r="D16" i="2" l="1"/>
  <c r="E16" i="2" s="1" a="1"/>
  <c r="E16" i="2" s="1"/>
  <c r="G16" i="2" s="1"/>
  <c r="AB16" i="2" l="1" a="1"/>
  <c r="AB16" i="2" s="1"/>
  <c r="AD16" i="2" s="1"/>
  <c r="AA17" i="2" s="1" a="1"/>
  <c r="AA17" i="2" s="1"/>
  <c r="Z18" i="2" s="1"/>
  <c r="D17" i="2" l="1"/>
  <c r="E17" i="2" s="1" a="1"/>
  <c r="E17" i="2" s="1"/>
  <c r="G17" i="2" s="1"/>
  <c r="AB17" i="2" l="1" a="1"/>
  <c r="AB17" i="2" s="1"/>
  <c r="AD17" i="2" s="1"/>
  <c r="AA18" i="2" s="1" a="1"/>
  <c r="AA18" i="2" s="1"/>
  <c r="Z19" i="2" s="1"/>
  <c r="D18" i="2" l="1"/>
  <c r="E18" i="2" s="1" a="1"/>
  <c r="E18" i="2" s="1"/>
  <c r="G18" i="2" s="1"/>
  <c r="AB18" i="2" l="1" a="1"/>
  <c r="AB18" i="2" s="1"/>
  <c r="AD18" i="2" s="1"/>
  <c r="AA19" i="2" s="1" a="1"/>
  <c r="AA19" i="2" s="1"/>
  <c r="Z20" i="2" s="1"/>
  <c r="D19" i="2" l="1"/>
  <c r="E19" i="2" s="1" a="1"/>
  <c r="E19" i="2" s="1"/>
  <c r="G19" i="2" s="1"/>
  <c r="AB19" i="2" l="1" a="1"/>
  <c r="AB19" i="2" s="1"/>
  <c r="AD19" i="2" s="1"/>
  <c r="AA20" i="2" s="1" a="1"/>
  <c r="AA20" i="2" s="1"/>
  <c r="Z21" i="2" s="1"/>
  <c r="D20" i="2" l="1"/>
  <c r="E20" i="2" s="1" a="1"/>
  <c r="E20" i="2" s="1"/>
  <c r="G20" i="2" s="1"/>
  <c r="AB20" i="2" l="1" a="1"/>
  <c r="AB20" i="2" s="1"/>
  <c r="AD20" i="2" s="1"/>
  <c r="AA21" i="2" s="1" a="1"/>
  <c r="AA21" i="2" s="1"/>
  <c r="Z22" i="2" s="1"/>
  <c r="D21" i="2" l="1"/>
  <c r="E21" i="2" s="1" a="1"/>
  <c r="E21" i="2" s="1"/>
  <c r="G21" i="2" s="1"/>
  <c r="AB21" i="2" l="1" a="1"/>
  <c r="AB21" i="2" s="1"/>
  <c r="AD21" i="2" s="1"/>
  <c r="AA22" i="2" s="1" a="1"/>
  <c r="AA22" i="2" s="1"/>
  <c r="Z23" i="2" s="1"/>
  <c r="D22" i="2" l="1"/>
  <c r="E22" i="2" s="1" a="1"/>
  <c r="E22" i="2" s="1"/>
  <c r="G22" i="2" s="1"/>
  <c r="AB22" i="2" l="1" a="1"/>
  <c r="AB22" i="2" s="1"/>
  <c r="AD22" i="2" s="1"/>
  <c r="AA23" i="2" s="1" a="1"/>
  <c r="AA23" i="2" s="1"/>
  <c r="Z24" i="2" s="1"/>
  <c r="D23" i="2" l="1"/>
  <c r="E23" i="2" s="1" a="1"/>
  <c r="E23" i="2" s="1"/>
  <c r="G23" i="2" s="1"/>
  <c r="AB23" i="2" l="1" a="1"/>
  <c r="AB23" i="2" s="1"/>
  <c r="AD23" i="2" s="1"/>
  <c r="AA24" i="2" s="1" a="1"/>
  <c r="AA24" i="2" s="1"/>
  <c r="Z25" i="2" s="1"/>
  <c r="D24" i="2" l="1"/>
  <c r="E24" i="2" s="1" a="1"/>
  <c r="E24" i="2" s="1"/>
  <c r="G24" i="2" s="1"/>
  <c r="AB24" i="2" l="1" a="1"/>
  <c r="AB24" i="2" s="1"/>
  <c r="AD24" i="2" s="1"/>
  <c r="AA25" i="2" s="1" a="1"/>
  <c r="AA25" i="2" s="1"/>
  <c r="Z26" i="2" s="1"/>
  <c r="D25" i="2" l="1"/>
  <c r="E25" i="2" s="1" a="1"/>
  <c r="E25" i="2" s="1"/>
  <c r="G25" i="2" s="1"/>
  <c r="AB25" i="2" l="1" a="1"/>
  <c r="AB25" i="2" s="1"/>
  <c r="AD25" i="2" s="1"/>
  <c r="AA26" i="2" s="1" a="1"/>
  <c r="AA26" i="2" s="1"/>
  <c r="Z27" i="2" s="1"/>
  <c r="D26" i="2" l="1"/>
  <c r="E26" i="2" s="1" a="1"/>
  <c r="E26" i="2" s="1"/>
  <c r="G26" i="2" s="1"/>
  <c r="AB26" i="2" l="1" a="1"/>
  <c r="AB26" i="2" s="1"/>
  <c r="AD26" i="2" s="1"/>
  <c r="AA27" i="2" s="1" a="1"/>
  <c r="AA27" i="2" s="1"/>
  <c r="Z28" i="2" s="1"/>
  <c r="D27" i="2" l="1"/>
  <c r="E27" i="2" s="1" a="1"/>
  <c r="E27" i="2" s="1"/>
  <c r="G27" i="2" s="1"/>
  <c r="AB27" i="2" l="1" a="1"/>
  <c r="AB27" i="2" s="1"/>
  <c r="AD27" i="2" s="1"/>
  <c r="AA28" i="2" s="1" a="1"/>
  <c r="AA28" i="2" s="1"/>
  <c r="Z29" i="2" s="1"/>
  <c r="D28" i="2" l="1"/>
  <c r="E28" i="2" s="1" a="1"/>
  <c r="E28" i="2" s="1"/>
  <c r="G28" i="2" s="1"/>
  <c r="AB28" i="2" l="1" a="1"/>
  <c r="AB28" i="2" s="1"/>
  <c r="AD28" i="2" s="1"/>
  <c r="AA29" i="2" s="1" a="1"/>
  <c r="AA29" i="2" s="1"/>
  <c r="Z30" i="2" s="1"/>
  <c r="D29" i="2" l="1"/>
  <c r="E29" i="2" s="1" a="1"/>
  <c r="E29" i="2" s="1"/>
  <c r="G29" i="2" s="1"/>
  <c r="AB29" i="2" l="1" a="1"/>
  <c r="AB29" i="2" s="1"/>
  <c r="AD29" i="2" s="1"/>
  <c r="AA30" i="2" s="1" a="1"/>
  <c r="AA30" i="2" s="1"/>
  <c r="Z31" i="2" s="1"/>
  <c r="D30" i="2" l="1"/>
  <c r="E30" i="2" s="1" a="1"/>
  <c r="E30" i="2" s="1"/>
  <c r="G30" i="2" s="1"/>
  <c r="AB30" i="2" l="1" a="1"/>
  <c r="AB30" i="2" s="1"/>
  <c r="AD30" i="2" s="1"/>
  <c r="AA31" i="2" s="1" a="1"/>
  <c r="AA31" i="2" s="1"/>
  <c r="Z32" i="2" s="1"/>
  <c r="D31" i="2" l="1"/>
  <c r="E31" i="2" s="1" a="1"/>
  <c r="E31" i="2" s="1"/>
  <c r="G31" i="2" s="1"/>
  <c r="AB31" i="2" l="1" a="1"/>
  <c r="AB31" i="2" s="1"/>
  <c r="AD31" i="2" s="1"/>
  <c r="AA32" i="2" s="1" a="1"/>
  <c r="AA32" i="2" s="1"/>
  <c r="Z33" i="2" s="1"/>
  <c r="D32" i="2" l="1"/>
  <c r="E32" i="2" s="1" a="1"/>
  <c r="E32" i="2" s="1"/>
  <c r="G32" i="2" s="1"/>
  <c r="AB32" i="2" l="1" a="1"/>
  <c r="AB32" i="2" s="1"/>
  <c r="AD32" i="2" s="1"/>
  <c r="AA33" i="2" s="1" a="1"/>
  <c r="AA33" i="2" s="1"/>
  <c r="Z34" i="2" s="1"/>
  <c r="D33" i="2" l="1"/>
  <c r="E33" i="2" s="1" a="1"/>
  <c r="E33" i="2" s="1"/>
  <c r="G33" i="2" s="1"/>
  <c r="AB33" i="2" l="1" a="1"/>
  <c r="AB33" i="2" s="1"/>
  <c r="AD33" i="2" s="1"/>
  <c r="AA34" i="2" s="1" a="1"/>
  <c r="AA34" i="2" s="1"/>
  <c r="Z35" i="2" s="1"/>
  <c r="D34" i="2" l="1"/>
  <c r="E34" i="2" s="1" a="1"/>
  <c r="E34" i="2" s="1"/>
  <c r="G34" i="2" s="1"/>
  <c r="AB34" i="2" l="1" a="1"/>
  <c r="AB34" i="2" s="1"/>
  <c r="AD34" i="2" s="1"/>
  <c r="AA35" i="2" s="1" a="1"/>
  <c r="AA35" i="2" s="1"/>
  <c r="Z36" i="2" s="1"/>
  <c r="D35" i="2" l="1"/>
  <c r="E35" i="2" s="1" a="1"/>
  <c r="E35" i="2" s="1"/>
  <c r="G35" i="2" s="1"/>
  <c r="AB35" i="2" l="1" a="1"/>
  <c r="AB35" i="2" s="1"/>
  <c r="AD35" i="2" s="1"/>
  <c r="AA36" i="2" s="1" a="1"/>
  <c r="AA36" i="2" s="1"/>
  <c r="Z37" i="2" s="1"/>
  <c r="D36" i="2" l="1"/>
  <c r="E36" i="2" s="1" a="1"/>
  <c r="E36" i="2" s="1"/>
  <c r="G36" i="2" s="1"/>
  <c r="AB36" i="2" l="1" a="1"/>
  <c r="AB36" i="2" s="1"/>
  <c r="AD36" i="2" s="1"/>
  <c r="AA37" i="2" s="1" a="1"/>
  <c r="AA37" i="2" s="1"/>
  <c r="Z38" i="2" s="1"/>
  <c r="D37" i="2" l="1"/>
  <c r="E37" i="2" s="1" a="1"/>
  <c r="E37" i="2" s="1"/>
  <c r="G37" i="2" s="1"/>
  <c r="AB37" i="2" l="1" a="1"/>
  <c r="AB37" i="2" s="1"/>
  <c r="AD37" i="2" s="1"/>
  <c r="AA38" i="2" s="1" a="1"/>
  <c r="AA38" i="2" s="1"/>
  <c r="Z39" i="2" s="1"/>
  <c r="D38" i="2" l="1"/>
  <c r="E38" i="2" s="1" a="1"/>
  <c r="E38" i="2" s="1"/>
  <c r="G38" i="2" s="1"/>
  <c r="AB38" i="2" l="1" a="1"/>
  <c r="AB38" i="2" s="1"/>
  <c r="AD38" i="2" s="1"/>
  <c r="AA39" i="2" s="1" a="1"/>
  <c r="AA39" i="2" s="1"/>
  <c r="Z40" i="2" s="1"/>
  <c r="D39" i="2" l="1"/>
  <c r="E39" i="2" s="1" a="1"/>
  <c r="E39" i="2" s="1"/>
  <c r="G39" i="2" s="1"/>
  <c r="AB39" i="2" l="1" a="1"/>
  <c r="AB39" i="2" s="1"/>
  <c r="AD39" i="2" s="1"/>
  <c r="AA40" i="2" s="1" a="1"/>
  <c r="AA40" i="2" s="1"/>
  <c r="Z41" i="2" s="1"/>
  <c r="D40" i="2" l="1"/>
  <c r="E40" i="2" s="1" a="1"/>
  <c r="E40" i="2" s="1"/>
  <c r="G40" i="2" s="1"/>
  <c r="AB40" i="2" l="1" a="1"/>
  <c r="AB40" i="2" s="1"/>
  <c r="AD40" i="2" s="1"/>
  <c r="AA41" i="2" s="1" a="1"/>
  <c r="AA41" i="2" s="1"/>
  <c r="Z42" i="2" s="1"/>
  <c r="D41" i="2" l="1"/>
  <c r="E41" i="2" s="1" a="1"/>
  <c r="E41" i="2" s="1"/>
  <c r="G41" i="2" s="1"/>
  <c r="AB41" i="2" l="1" a="1"/>
  <c r="AB41" i="2" s="1"/>
  <c r="AD41" i="2" s="1"/>
  <c r="AA42" i="2" s="1" a="1"/>
  <c r="AA42" i="2" s="1"/>
  <c r="Z43" i="2" s="1"/>
  <c r="D42" i="2" l="1"/>
  <c r="E42" i="2" s="1" a="1"/>
  <c r="E42" i="2" s="1"/>
  <c r="G42" i="2" s="1"/>
  <c r="AB42" i="2" l="1" a="1"/>
  <c r="AB42" i="2" s="1"/>
  <c r="AD42" i="2" s="1"/>
  <c r="AA43" i="2" s="1" a="1"/>
  <c r="AA43" i="2" s="1"/>
  <c r="Z44" i="2" s="1"/>
  <c r="D43" i="2" l="1"/>
  <c r="E43" i="2" s="1" a="1"/>
  <c r="E43" i="2" s="1"/>
  <c r="G43" i="2" s="1"/>
  <c r="AB43" i="2" l="1" a="1"/>
  <c r="AB43" i="2" s="1"/>
  <c r="AD43" i="2" s="1"/>
  <c r="AA44" i="2" s="1" a="1"/>
  <c r="AA44" i="2" s="1"/>
  <c r="Z45" i="2" s="1"/>
  <c r="D44" i="2" l="1"/>
  <c r="E44" i="2" s="1" a="1"/>
  <c r="E44" i="2" s="1"/>
  <c r="G44" i="2" s="1"/>
  <c r="AB44" i="2" l="1" a="1"/>
  <c r="AB44" i="2" s="1"/>
  <c r="AD44" i="2" s="1"/>
  <c r="AA45" i="2" s="1" a="1"/>
  <c r="AA45" i="2" s="1"/>
  <c r="Z46" i="2" s="1"/>
  <c r="D45" i="2" l="1"/>
  <c r="E45" i="2" s="1" a="1"/>
  <c r="E45" i="2" s="1"/>
  <c r="G45" i="2" s="1"/>
  <c r="AB45" i="2" l="1" a="1"/>
  <c r="AB45" i="2" s="1"/>
  <c r="AD45" i="2" s="1"/>
  <c r="AA46" i="2" s="1" a="1"/>
  <c r="AA46" i="2" s="1"/>
  <c r="Z47" i="2" s="1"/>
  <c r="D46" i="2" l="1"/>
  <c r="E46" i="2" s="1" a="1"/>
  <c r="E46" i="2" s="1"/>
  <c r="G46" i="2" s="1"/>
  <c r="AB46" i="2" l="1" a="1"/>
  <c r="AB46" i="2" s="1"/>
  <c r="AD46" i="2" s="1"/>
  <c r="AA47" i="2" s="1" a="1"/>
  <c r="AA47" i="2" s="1"/>
  <c r="Z48" i="2" s="1"/>
  <c r="D47" i="2" l="1"/>
  <c r="E47" i="2" s="1" a="1"/>
  <c r="E47" i="2" s="1"/>
  <c r="G47" i="2" s="1"/>
  <c r="AB47" i="2" l="1" a="1"/>
  <c r="AB47" i="2" s="1"/>
  <c r="AD47" i="2" s="1"/>
  <c r="AA48" i="2" s="1" a="1"/>
  <c r="AA48" i="2" s="1"/>
  <c r="Z49" i="2" s="1"/>
  <c r="D48" i="2" l="1"/>
  <c r="E48" i="2" s="1" a="1"/>
  <c r="E48" i="2" s="1"/>
  <c r="G48" i="2" s="1"/>
  <c r="AB48" i="2" l="1" a="1"/>
  <c r="AB48" i="2" s="1"/>
  <c r="AD48" i="2" s="1"/>
  <c r="AA49" i="2" s="1" a="1"/>
  <c r="AA49" i="2" s="1"/>
  <c r="Z50" i="2" s="1"/>
  <c r="D49" i="2" l="1"/>
  <c r="E49" i="2" s="1" a="1"/>
  <c r="E49" i="2" s="1"/>
  <c r="G49" i="2" s="1"/>
  <c r="AB49" i="2" l="1" a="1"/>
  <c r="AB49" i="2" s="1"/>
  <c r="AD49" i="2" s="1"/>
  <c r="AA50" i="2" s="1" a="1"/>
  <c r="AA50" i="2" s="1"/>
  <c r="Z51" i="2" s="1"/>
  <c r="D50" i="2" l="1"/>
  <c r="E50" i="2" s="1" a="1"/>
  <c r="E50" i="2" s="1"/>
  <c r="G50" i="2" s="1"/>
  <c r="AB50" i="2" l="1" a="1"/>
  <c r="AB50" i="2" s="1"/>
  <c r="AD50" i="2" s="1"/>
  <c r="AA51" i="2" s="1" a="1"/>
  <c r="AA51" i="2" s="1"/>
  <c r="Z52" i="2" s="1"/>
  <c r="D51" i="2" l="1"/>
  <c r="E51" i="2" s="1" a="1"/>
  <c r="E51" i="2" s="1"/>
  <c r="G51" i="2" s="1"/>
  <c r="AB51" i="2" l="1" a="1"/>
  <c r="AB51" i="2" s="1"/>
  <c r="AD51" i="2" s="1"/>
  <c r="AA52" i="2" l="1" a="1"/>
  <c r="AA52" i="2" s="1"/>
  <c r="D52" i="2"/>
  <c r="E52" i="2" s="1" a="1"/>
  <c r="E52" i="2" s="1"/>
  <c r="G52" i="2" s="1"/>
  <c r="AB52" i="2" l="1" a="1"/>
  <c r="AB52" i="2" s="1"/>
  <c r="AD52" i="2" s="1"/>
  <c r="Z53" i="2"/>
  <c r="AA53" i="2" a="1"/>
  <c r="AA53" i="2" s="1"/>
  <c r="AB53" i="2" s="1" a="1"/>
  <c r="AB53" i="2" s="1"/>
  <c r="AD53" i="2" s="1"/>
  <c r="Z54" i="2" l="1"/>
  <c r="AA54" i="2" a="1"/>
  <c r="AA54" i="2" s="1"/>
  <c r="AB54" i="2" s="1" a="1"/>
  <c r="AB54" i="2" s="1"/>
  <c r="AD54" i="2" s="1"/>
  <c r="D53" i="2"/>
  <c r="E53" i="2" s="1" a="1"/>
  <c r="E53" i="2" s="1"/>
  <c r="G53" i="2" s="1"/>
  <c r="Z55" i="2" l="1"/>
  <c r="AA55" i="2" a="1"/>
  <c r="AA55" i="2" s="1"/>
  <c r="AB55" i="2" s="1" a="1"/>
  <c r="AB55" i="2" s="1"/>
  <c r="AD55" i="2" s="1"/>
  <c r="Z56" i="2" l="1"/>
  <c r="AA56" i="2" a="1"/>
  <c r="AA56" i="2" s="1"/>
  <c r="AB56" i="2" s="1" a="1"/>
  <c r="AB56" i="2" s="1"/>
  <c r="AD56" i="2" s="1"/>
  <c r="D54" i="2"/>
  <c r="E54" i="2" s="1" a="1"/>
  <c r="E54" i="2" s="1"/>
  <c r="G54" i="2" s="1"/>
  <c r="Z57" i="2" l="1"/>
  <c r="AA57" i="2" a="1"/>
  <c r="AA57" i="2" s="1"/>
  <c r="AB57" i="2" s="1" a="1"/>
  <c r="AB57" i="2" s="1"/>
  <c r="AD57" i="2" s="1"/>
  <c r="Z58" i="2" l="1"/>
  <c r="AA58" i="2" a="1"/>
  <c r="AA58" i="2" s="1"/>
  <c r="AB58" i="2" s="1" a="1"/>
  <c r="AB58" i="2" s="1"/>
  <c r="AD58" i="2" s="1"/>
  <c r="D55" i="2"/>
  <c r="E55" i="2" s="1" a="1"/>
  <c r="E55" i="2" s="1"/>
  <c r="G55" i="2" s="1"/>
  <c r="Z59" i="2" l="1"/>
  <c r="AA59" i="2" a="1"/>
  <c r="AA59" i="2" s="1"/>
  <c r="AB59" i="2" s="1" a="1"/>
  <c r="AB59" i="2" s="1"/>
  <c r="AD59" i="2" s="1"/>
  <c r="Z60" i="2" l="1"/>
  <c r="AA60" i="2" a="1"/>
  <c r="AA60" i="2" s="1"/>
  <c r="AB60" i="2" s="1" a="1"/>
  <c r="AB60" i="2" s="1"/>
  <c r="AD60" i="2" s="1"/>
  <c r="D56" i="2"/>
  <c r="E56" i="2" s="1" a="1"/>
  <c r="E56" i="2" s="1"/>
  <c r="G56" i="2" s="1"/>
  <c r="Z61" i="2" l="1"/>
  <c r="AA61" i="2" a="1"/>
  <c r="AA61" i="2" s="1"/>
  <c r="AB61" i="2" s="1" a="1"/>
  <c r="AB61" i="2" s="1"/>
  <c r="AD61" i="2" l="1"/>
  <c r="D57" i="2"/>
  <c r="E57" i="2" s="1" a="1"/>
  <c r="E57" i="2" s="1"/>
  <c r="G57" i="2" s="1"/>
  <c r="D58" i="2" l="1"/>
  <c r="E58" i="2" s="1" a="1"/>
  <c r="E58" i="2" s="1"/>
  <c r="G58" i="2" s="1"/>
  <c r="D59" i="2" l="1"/>
  <c r="E59" i="2" s="1" a="1"/>
  <c r="E59" i="2" s="1"/>
  <c r="G59" i="2" s="1"/>
  <c r="D60" i="2" l="1"/>
  <c r="E60" i="2" s="1" a="1"/>
  <c r="E60" i="2" s="1"/>
  <c r="G60" i="2" s="1"/>
  <c r="D61" i="2" l="1"/>
  <c r="E61" i="2" s="1" a="1"/>
  <c r="E61" i="2" s="1"/>
  <c r="G6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<sst xmlns="http://schemas.openxmlformats.org/spreadsheetml/2006/main" count="233" uniqueCount="36">
  <si>
    <t>Indice</t>
  </si>
  <si>
    <t>Valor</t>
  </si>
  <si>
    <t>SELIC</t>
  </si>
  <si>
    <t>TR</t>
  </si>
  <si>
    <t>IGP-M</t>
  </si>
  <si>
    <t>IPCA</t>
  </si>
  <si>
    <t>CDB</t>
  </si>
  <si>
    <t>Administração_Imobiliária</t>
  </si>
  <si>
    <t>CDB  (% CDI)</t>
  </si>
  <si>
    <t>Taxa do CDI</t>
  </si>
  <si>
    <t>Valorização do Imovel</t>
  </si>
  <si>
    <t>Inicio</t>
  </si>
  <si>
    <t>Custos</t>
  </si>
  <si>
    <t>Resultado Líquido</t>
  </si>
  <si>
    <t>Receita Bruta</t>
  </si>
  <si>
    <t>Aplicacao</t>
  </si>
  <si>
    <t>Periodo</t>
  </si>
  <si>
    <t>Aluguel</t>
  </si>
  <si>
    <t>IRPF</t>
  </si>
  <si>
    <t>Poupança</t>
  </si>
  <si>
    <t>Valor Aplicado</t>
  </si>
  <si>
    <t>valor do imóvel</t>
  </si>
  <si>
    <t>Receita do periodo</t>
  </si>
  <si>
    <t>receita Liquida acumulada</t>
  </si>
  <si>
    <t>reajustes</t>
  </si>
  <si>
    <t>Imobiliária</t>
  </si>
  <si>
    <t>Margem %</t>
  </si>
  <si>
    <t>receita acumulada</t>
  </si>
  <si>
    <t>Custos Totais</t>
  </si>
  <si>
    <t>ano</t>
  </si>
  <si>
    <t>Ano</t>
  </si>
  <si>
    <t>Receita Total</t>
  </si>
  <si>
    <t>Resultado total</t>
  </si>
  <si>
    <t>margem %</t>
  </si>
  <si>
    <t>irpf</t>
  </si>
  <si>
    <t>Receita liquida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</si>
</sst>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7" fontId="0" fillId="0" borderId="0" xfId="0" applyNumberFormat="1"/>
    <xf numFmtId="10" fontId="0" fillId="0" borderId="0" xfId="0" applyNumberFormat="1"/>
    <xf numFmtId="9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17" fontId="0" fillId="3" borderId="1" xfId="0" applyNumberFormat="1" applyFill="1" applyBorder="1"/>
    <xf numFmtId="0" fontId="0" fillId="3" borderId="2" xfId="0" applyFill="1" applyBorder="1"/>
    <xf numFmtId="17" fontId="0" fillId="0" borderId="1" xfId="0" applyNumberFormat="1" applyBorder="1"/>
    <xf numFmtId="0" fontId="0" fillId="0" borderId="2" xfId="0" applyBorder="1"/>
    <xf numFmtId="44" fontId="2" fillId="2" borderId="2" xfId="0" applyNumberFormat="1" applyFont="1" applyFill="1" applyBorder="1"/>
    <xf numFmtId="44" fontId="2" fillId="2" borderId="3" xfId="0" applyNumberFormat="1" applyFont="1" applyFill="1" applyBorder="1"/>
    <xf numFmtId="44" fontId="0" fillId="3" borderId="2" xfId="0" applyNumberFormat="1" applyFill="1" applyBorder="1"/>
    <xf numFmtId="44" fontId="0" fillId="3" borderId="3" xfId="0" applyNumberFormat="1" applyFill="1" applyBorder="1"/>
    <xf numFmtId="44" fontId="0" fillId="0" borderId="2" xfId="0" applyNumberFormat="1" applyBorder="1"/>
    <xf numFmtId="44" fontId="0" fillId="0" borderId="0" xfId="0" applyNumberFormat="1"/>
    <xf numFmtId="14" fontId="0" fillId="0" borderId="0" xfId="0" applyNumberFormat="1"/>
    <xf numFmtId="9" fontId="0" fillId="3" borderId="2" xfId="1" applyFont="1" applyFill="1" applyBorder="1"/>
    <xf numFmtId="9" fontId="0" fillId="0" borderId="0" xfId="1" applyFont="1"/>
    <xf numFmtId="17" fontId="0" fillId="3" borderId="2" xfId="0" applyNumberFormat="1" applyFill="1" applyBorder="1"/>
    <xf numFmtId="17" fontId="0" fillId="0" borderId="2" xfId="0" applyNumberFormat="1" applyBorder="1"/>
    <xf numFmtId="1" fontId="0" fillId="3" borderId="2" xfId="0" applyNumberFormat="1" applyFill="1" applyBorder="1"/>
    <xf numFmtId="0" fontId="2" fillId="2" borderId="0" xfId="0" applyFont="1" applyFill="1" applyBorder="1"/>
    <xf numFmtId="44" fontId="2" fillId="2" borderId="0" xfId="0" applyNumberFormat="1" applyFont="1" applyFill="1" applyBorder="1"/>
    <xf numFmtId="9" fontId="2" fillId="2" borderId="0" xfId="1" applyFont="1" applyFill="1" applyBorder="1"/>
    <xf numFmtId="1" fontId="0" fillId="0" borderId="0" xfId="0" applyNumberFormat="1"/>
    <xf numFmtId="1" fontId="2" fillId="2" borderId="0" xfId="0" applyNumberFormat="1" applyFont="1" applyFill="1" applyBorder="1"/>
  </cellXfs>
  <cellStyles count="2">
    <cellStyle name="Normal" xfId="0" builtinId="0"/>
    <cellStyle name="Porcentagem" xfId="1" builtinId="5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theme="4"/>
          <bgColor theme="4"/>
        </patternFill>
      </fill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2" formatCode="mmm/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theme="4"/>
          <bgColor theme="4"/>
        </patternFill>
      </fill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4" formatCode="_-&quot;R$&quot;* #,##0.00_-;\-&quot;R$&quot;* #,##0.00_-;_-&quot;R$&quot;* &quot;-&quot;??_-;_-@_-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2" formatCode="mmm/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Evolução de Receita</a:t>
            </a:r>
            <a:r>
              <a:rPr lang="en-US" baseline="0"/>
              <a:t> Mensal - Aluguel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1494731846501545E-2"/>
          <c:y val="0.16245370370370371"/>
          <c:w val="0.89193227362566452"/>
          <c:h val="0.54424139690871975"/>
        </c:manualLayout>
      </c:layout>
      <c:lineChart>
        <c:grouping val="standard"/>
        <c:varyColors val="0"/>
        <c:ser>
          <c:idx val="1"/>
          <c:order val="0"/>
          <c:tx>
            <c:strRef>
              <c:f>'rendimentos mensais calculos'!$O$1</c:f>
              <c:strCache>
                <c:ptCount val="1"/>
                <c:pt idx="0">
                  <c:v> Receita do periodo 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cat>
            <c:numRef>
              <c:f>'rendimentos mensais calculos'!$I$2:$I$61</c:f>
              <c:numCache>
                <c:formatCode>mmm\-yy</c:formatCode>
                <c:ptCount val="60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  <c:pt idx="6">
                  <c:v>46327</c:v>
                </c:pt>
                <c:pt idx="7">
                  <c:v>46357</c:v>
                </c:pt>
                <c:pt idx="8">
                  <c:v>46388</c:v>
                </c:pt>
                <c:pt idx="9">
                  <c:v>46419</c:v>
                </c:pt>
                <c:pt idx="10">
                  <c:v>46447</c:v>
                </c:pt>
                <c:pt idx="11">
                  <c:v>46478</c:v>
                </c:pt>
                <c:pt idx="12">
                  <c:v>46508</c:v>
                </c:pt>
                <c:pt idx="13">
                  <c:v>46539</c:v>
                </c:pt>
                <c:pt idx="14">
                  <c:v>46569</c:v>
                </c:pt>
                <c:pt idx="15">
                  <c:v>46600</c:v>
                </c:pt>
                <c:pt idx="16">
                  <c:v>46631</c:v>
                </c:pt>
                <c:pt idx="17">
                  <c:v>46661</c:v>
                </c:pt>
                <c:pt idx="18">
                  <c:v>46692</c:v>
                </c:pt>
                <c:pt idx="19">
                  <c:v>46722</c:v>
                </c:pt>
                <c:pt idx="20">
                  <c:v>46753</c:v>
                </c:pt>
                <c:pt idx="21">
                  <c:v>46784</c:v>
                </c:pt>
                <c:pt idx="22">
                  <c:v>46813</c:v>
                </c:pt>
                <c:pt idx="23">
                  <c:v>46844</c:v>
                </c:pt>
                <c:pt idx="24">
                  <c:v>46874</c:v>
                </c:pt>
                <c:pt idx="25">
                  <c:v>46905</c:v>
                </c:pt>
                <c:pt idx="26">
                  <c:v>46935</c:v>
                </c:pt>
                <c:pt idx="27">
                  <c:v>46966</c:v>
                </c:pt>
                <c:pt idx="28">
                  <c:v>46997</c:v>
                </c:pt>
                <c:pt idx="29">
                  <c:v>47027</c:v>
                </c:pt>
                <c:pt idx="30">
                  <c:v>47058</c:v>
                </c:pt>
                <c:pt idx="31">
                  <c:v>47088</c:v>
                </c:pt>
                <c:pt idx="32">
                  <c:v>47119</c:v>
                </c:pt>
                <c:pt idx="33">
                  <c:v>47150</c:v>
                </c:pt>
                <c:pt idx="34">
                  <c:v>47178</c:v>
                </c:pt>
                <c:pt idx="35">
                  <c:v>47209</c:v>
                </c:pt>
                <c:pt idx="36">
                  <c:v>47239</c:v>
                </c:pt>
                <c:pt idx="37">
                  <c:v>47270</c:v>
                </c:pt>
                <c:pt idx="38">
                  <c:v>47300</c:v>
                </c:pt>
                <c:pt idx="39">
                  <c:v>47331</c:v>
                </c:pt>
                <c:pt idx="40">
                  <c:v>47362</c:v>
                </c:pt>
                <c:pt idx="41">
                  <c:v>47392</c:v>
                </c:pt>
                <c:pt idx="42">
                  <c:v>47423</c:v>
                </c:pt>
                <c:pt idx="43">
                  <c:v>47453</c:v>
                </c:pt>
                <c:pt idx="44">
                  <c:v>47484</c:v>
                </c:pt>
                <c:pt idx="45">
                  <c:v>47515</c:v>
                </c:pt>
                <c:pt idx="46">
                  <c:v>47543</c:v>
                </c:pt>
                <c:pt idx="47">
                  <c:v>47574</c:v>
                </c:pt>
                <c:pt idx="48">
                  <c:v>47604</c:v>
                </c:pt>
                <c:pt idx="49">
                  <c:v>47635</c:v>
                </c:pt>
                <c:pt idx="50">
                  <c:v>47665</c:v>
                </c:pt>
                <c:pt idx="51">
                  <c:v>47696</c:v>
                </c:pt>
                <c:pt idx="52">
                  <c:v>47727</c:v>
                </c:pt>
                <c:pt idx="53">
                  <c:v>47757</c:v>
                </c:pt>
                <c:pt idx="54">
                  <c:v>47788</c:v>
                </c:pt>
                <c:pt idx="55">
                  <c:v>47818</c:v>
                </c:pt>
                <c:pt idx="56">
                  <c:v>47849</c:v>
                </c:pt>
                <c:pt idx="57">
                  <c:v>47880</c:v>
                </c:pt>
                <c:pt idx="58">
                  <c:v>47908</c:v>
                </c:pt>
                <c:pt idx="59">
                  <c:v>47939</c:v>
                </c:pt>
              </c:numCache>
            </c:numRef>
          </c:cat>
          <c:val>
            <c:numRef>
              <c:f>'rendimentos mensais calculos'!$O$2:$O$61</c:f>
              <c:numCache>
                <c:formatCode>_("R$"* #,##0.00_);_("R$"* \(#,##0.00\);_("R$"* "-"??_);_(@_)</c:formatCode>
                <c:ptCount val="60"/>
                <c:pt idx="0">
                  <c:v>750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750</c:v>
                </c:pt>
                <c:pt idx="7">
                  <c:v>750</c:v>
                </c:pt>
                <c:pt idx="8">
                  <c:v>750</c:v>
                </c:pt>
                <c:pt idx="9">
                  <c:v>750</c:v>
                </c:pt>
                <c:pt idx="10">
                  <c:v>750</c:v>
                </c:pt>
                <c:pt idx="11">
                  <c:v>750</c:v>
                </c:pt>
                <c:pt idx="12">
                  <c:v>777.3</c:v>
                </c:pt>
                <c:pt idx="13">
                  <c:v>777.3</c:v>
                </c:pt>
                <c:pt idx="14">
                  <c:v>777.3</c:v>
                </c:pt>
                <c:pt idx="15">
                  <c:v>777.3</c:v>
                </c:pt>
                <c:pt idx="16">
                  <c:v>777.3</c:v>
                </c:pt>
                <c:pt idx="17">
                  <c:v>777.3</c:v>
                </c:pt>
                <c:pt idx="18">
                  <c:v>777.3</c:v>
                </c:pt>
                <c:pt idx="19">
                  <c:v>777.3</c:v>
                </c:pt>
                <c:pt idx="20">
                  <c:v>777.3</c:v>
                </c:pt>
                <c:pt idx="21">
                  <c:v>777.3</c:v>
                </c:pt>
                <c:pt idx="22">
                  <c:v>777.3</c:v>
                </c:pt>
                <c:pt idx="23">
                  <c:v>777.3</c:v>
                </c:pt>
                <c:pt idx="24">
                  <c:v>805.59371999999996</c:v>
                </c:pt>
                <c:pt idx="25">
                  <c:v>805.59371999999996</c:v>
                </c:pt>
                <c:pt idx="26">
                  <c:v>805.59371999999996</c:v>
                </c:pt>
                <c:pt idx="27">
                  <c:v>805.59371999999996</c:v>
                </c:pt>
                <c:pt idx="28">
                  <c:v>805.59371999999996</c:v>
                </c:pt>
                <c:pt idx="29">
                  <c:v>805.59371999999996</c:v>
                </c:pt>
                <c:pt idx="30">
                  <c:v>805.59371999999996</c:v>
                </c:pt>
                <c:pt idx="31">
                  <c:v>805.59371999999996</c:v>
                </c:pt>
                <c:pt idx="32">
                  <c:v>805.59371999999996</c:v>
                </c:pt>
                <c:pt idx="33">
                  <c:v>805.59371999999996</c:v>
                </c:pt>
                <c:pt idx="34">
                  <c:v>805.59371999999996</c:v>
                </c:pt>
                <c:pt idx="35">
                  <c:v>805.59371999999996</c:v>
                </c:pt>
                <c:pt idx="36">
                  <c:v>834.917331408</c:v>
                </c:pt>
                <c:pt idx="37">
                  <c:v>834.917331408</c:v>
                </c:pt>
                <c:pt idx="38">
                  <c:v>834.917331408</c:v>
                </c:pt>
                <c:pt idx="39">
                  <c:v>834.917331408</c:v>
                </c:pt>
                <c:pt idx="40">
                  <c:v>834.917331408</c:v>
                </c:pt>
                <c:pt idx="41">
                  <c:v>834.917331408</c:v>
                </c:pt>
                <c:pt idx="42">
                  <c:v>834.917331408</c:v>
                </c:pt>
                <c:pt idx="43">
                  <c:v>834.917331408</c:v>
                </c:pt>
                <c:pt idx="44">
                  <c:v>834.917331408</c:v>
                </c:pt>
                <c:pt idx="45">
                  <c:v>834.917331408</c:v>
                </c:pt>
                <c:pt idx="46">
                  <c:v>834.917331408</c:v>
                </c:pt>
                <c:pt idx="47">
                  <c:v>834.917331408</c:v>
                </c:pt>
                <c:pt idx="48">
                  <c:v>865.3083222712512</c:v>
                </c:pt>
                <c:pt idx="49">
                  <c:v>865.3083222712512</c:v>
                </c:pt>
                <c:pt idx="50">
                  <c:v>865.3083222712512</c:v>
                </c:pt>
                <c:pt idx="51">
                  <c:v>865.3083222712512</c:v>
                </c:pt>
                <c:pt idx="52">
                  <c:v>865.3083222712512</c:v>
                </c:pt>
                <c:pt idx="53">
                  <c:v>865.3083222712512</c:v>
                </c:pt>
                <c:pt idx="54">
                  <c:v>865.3083222712512</c:v>
                </c:pt>
                <c:pt idx="55">
                  <c:v>865.3083222712512</c:v>
                </c:pt>
                <c:pt idx="56">
                  <c:v>865.3083222712512</c:v>
                </c:pt>
                <c:pt idx="57">
                  <c:v>865.3083222712512</c:v>
                </c:pt>
                <c:pt idx="58">
                  <c:v>865.3083222712512</c:v>
                </c:pt>
                <c:pt idx="59">
                  <c:v>865.3083222712512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39-492E-904C-9DD67672ECFE}"/>
            </c:ext>
          </c:extLst>
        </c:ser>
        <c:ser>
          <c:idx val="0"/>
          <c:order val="1"/>
          <c:tx>
            <c:strRef>
              <c:f>'rendimentos mensais calculos'!$M$1</c:f>
              <c:strCache>
                <c:ptCount val="1"/>
                <c:pt idx="0">
                  <c:v> reajustes </c:v>
                </c:pt>
              </c:strCache>
            </c:strRef>
          </c:tx>
          <c:spPr>
            <a:ln>
              <a:noFill/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val>
            <c:numRef>
              <c:f>'rendimentos mensais calculos'!$M$2:$M$61</c:f>
              <c:numCache>
                <c:formatCode>_("R$"* #,##0.00_);_("R$"* \(#,##0.00\);_("R$"* "-"??_);_(@_)</c:formatCode>
                <c:ptCount val="60"/>
                <c:pt idx="0">
                  <c:v>750</c:v>
                </c:pt>
                <c:pt idx="12">
                  <c:v>777.3</c:v>
                </c:pt>
                <c:pt idx="24">
                  <c:v>805.59371999999996</c:v>
                </c:pt>
                <c:pt idx="36">
                  <c:v>834.917331408</c:v>
                </c:pt>
                <c:pt idx="48">
                  <c:v>865.3083222712512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39-492E-904C-9DD67672E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858864"/>
        <c:axId val="600859344"/>
        <c:extLst/>
      </c:lineChart>
      <c:dateAx>
        <c:axId val="600858864"/>
        <c:scaling>
          <c:orientation val="minMax"/>
          <c:max val="47969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9344"/>
        <c:crosses val="autoZero"/>
        <c:auto val="1"/>
        <c:lblOffset val="100"/>
        <c:baseTimeUnit val="months"/>
        <c:majorUnit val="3"/>
        <c:majorTimeUnit val="months"/>
      </c:dateAx>
      <c:valAx>
        <c:axId val="600859344"/>
        <c:scaling>
          <c:orientation val="minMax"/>
          <c:max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886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</a:t>
            </a:r>
            <a:r>
              <a:rPr lang="pt-BR" baseline="0"/>
              <a:t> de Caixa Anual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'rendimentos mensais calculos'!$J$64</c:f>
              <c:strCache>
                <c:ptCount val="1"/>
                <c:pt idx="0">
                  <c:v> Receita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'rendimentos mensais calculos'!$I$65:$I$70</c:f>
              <c:numCache>
                <c:formatCode>0</c:formatCode>
                <c:ptCount val="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'rendimentos mensais calculos'!$J$65:$J$70</c:f>
              <c:numCache>
                <c:formatCode>_("R$"* #,##0.00_);_("R$"* \(#,##0.00\);_("R$"* "-"??_);_(@_)</c:formatCode>
                <c:ptCount val="6"/>
                <c:pt idx="0">
                  <c:v>6000</c:v>
                </c:pt>
                <c:pt idx="1">
                  <c:v>9218.4</c:v>
                </c:pt>
                <c:pt idx="2">
                  <c:v>9553.9497599999995</c:v>
                </c:pt>
                <c:pt idx="3">
                  <c:v>9901.7135312640003</c:v>
                </c:pt>
                <c:pt idx="4">
                  <c:v>10262.135903802013</c:v>
                </c:pt>
                <c:pt idx="5">
                  <c:v>3461.2332890850048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9-4297-93E3-E88BD2318486}"/>
            </c:ext>
          </c:extLst>
        </c:ser>
        <c:ser>
          <c:idx val="1"/>
          <c:order val="1"/>
          <c:tx>
            <c:strRef>
              <c:f>'rendimentos mensais calculos'!$K$64</c:f>
              <c:strCache>
                <c:ptCount val="1"/>
                <c:pt idx="0">
                  <c:v> Custos Totais 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'rendimentos mensais calculos'!$I$65:$I$70</c:f>
              <c:numCache>
                <c:formatCode>0</c:formatCode>
                <c:ptCount val="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'rendimentos mensais calculos'!$K$65:$K$70</c:f>
              <c:numCache>
                <c:formatCode>_("R$"* #,##0.00_);_("R$"* \(#,##0.00\);_("R$"* "-"??_);_(@_)</c:formatCode>
                <c:ptCount val="6"/>
                <c:pt idx="0">
                  <c:v>2250</c:v>
                </c:pt>
                <c:pt idx="1">
                  <c:v>3456.9000000000005</c:v>
                </c:pt>
                <c:pt idx="2">
                  <c:v>3582.7311599999994</c:v>
                </c:pt>
                <c:pt idx="3">
                  <c:v>3713.1425742239999</c:v>
                </c:pt>
                <c:pt idx="4">
                  <c:v>3848.300963925753</c:v>
                </c:pt>
                <c:pt idx="5">
                  <c:v>1297.9624834068768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9-4297-93E3-E88BD2318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7111103"/>
        <c:axId val="1317110623"/>
      </c:barChart>
      <c:lineChart>
        <c:grouping val="standard"/>
        <c:varyColors val="0"/>
        <c:ser>
          <c:idx val="2"/>
          <c:order val="2"/>
          <c:tx>
            <c:strRef>
              <c:f>'rendimentos mensais calculos'!$M$64</c:f>
              <c:strCache>
                <c:ptCount val="1"/>
                <c:pt idx="0">
                  <c:v>margem %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'rendimentos mensais calculos'!$M$65:$M$70</c:f>
              <c:numCache>
                <c:formatCode>0%</c:formatCode>
                <c:ptCount val="6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0.62500000000000011</c:v>
                </c:pt>
                <c:pt idx="4">
                  <c:v>0.62499999999999956</c:v>
                </c:pt>
                <c:pt idx="5">
                  <c:v>0.62499999999999989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89-4297-93E3-E88BD2318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802095"/>
        <c:axId val="292590831"/>
      </c:lineChart>
      <c:catAx>
        <c:axId val="131711110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7110623"/>
        <c:crosses val="autoZero"/>
        <c:auto val="1"/>
        <c:lblAlgn val="ctr"/>
        <c:lblOffset val="100"/>
        <c:noMultiLvlLbl val="0"/>
      </c:catAx>
      <c:valAx>
        <c:axId val="13171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7111103"/>
        <c:crosses val="autoZero"/>
        <c:crossBetween val="between"/>
      </c:valAx>
      <c:valAx>
        <c:axId val="292590831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2802095"/>
        <c:crosses val="max"/>
        <c:crossBetween val="between"/>
      </c:valAx>
      <c:catAx>
        <c:axId val="292802095"/>
        <c:scaling>
          <c:orientation val="minMax"/>
        </c:scaling>
        <c:delete val="1"/>
        <c:axPos val="b"/>
        <c:majorTickMark val="out"/>
        <c:minorTickMark val="none"/>
        <c:tickLblPos val="nextTo"/>
        <c:crossAx val="292590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Evolução da Receita Bruta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'bases para graficos'!$B$1</c:f>
              <c:strCache>
                <c:ptCount val="1"/>
                <c:pt idx="0">
                  <c:v>Receita Bruta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'bases para graficos'!$A$2:$A$61</c:f>
              <c:numCache>
                <c:formatCode>mmm\-yy</c:formatCode>
                <c:ptCount val="60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  <c:pt idx="6">
                  <c:v>46327</c:v>
                </c:pt>
                <c:pt idx="7">
                  <c:v>46357</c:v>
                </c:pt>
                <c:pt idx="8">
                  <c:v>46388</c:v>
                </c:pt>
                <c:pt idx="9">
                  <c:v>46419</c:v>
                </c:pt>
                <c:pt idx="10">
                  <c:v>46447</c:v>
                </c:pt>
                <c:pt idx="11">
                  <c:v>46478</c:v>
                </c:pt>
                <c:pt idx="12">
                  <c:v>46508</c:v>
                </c:pt>
                <c:pt idx="13">
                  <c:v>46539</c:v>
                </c:pt>
                <c:pt idx="14">
                  <c:v>46569</c:v>
                </c:pt>
                <c:pt idx="15">
                  <c:v>46600</c:v>
                </c:pt>
                <c:pt idx="16">
                  <c:v>46631</c:v>
                </c:pt>
                <c:pt idx="17">
                  <c:v>46661</c:v>
                </c:pt>
                <c:pt idx="18">
                  <c:v>46692</c:v>
                </c:pt>
                <c:pt idx="19">
                  <c:v>46722</c:v>
                </c:pt>
                <c:pt idx="20">
                  <c:v>46753</c:v>
                </c:pt>
                <c:pt idx="21">
                  <c:v>46784</c:v>
                </c:pt>
                <c:pt idx="22">
                  <c:v>46813</c:v>
                </c:pt>
                <c:pt idx="23">
                  <c:v>46844</c:v>
                </c:pt>
                <c:pt idx="24">
                  <c:v>46874</c:v>
                </c:pt>
                <c:pt idx="25">
                  <c:v>46905</c:v>
                </c:pt>
                <c:pt idx="26">
                  <c:v>46935</c:v>
                </c:pt>
                <c:pt idx="27">
                  <c:v>46966</c:v>
                </c:pt>
                <c:pt idx="28">
                  <c:v>46997</c:v>
                </c:pt>
                <c:pt idx="29">
                  <c:v>47027</c:v>
                </c:pt>
                <c:pt idx="30">
                  <c:v>47058</c:v>
                </c:pt>
                <c:pt idx="31">
                  <c:v>47088</c:v>
                </c:pt>
                <c:pt idx="32">
                  <c:v>47119</c:v>
                </c:pt>
                <c:pt idx="33">
                  <c:v>47150</c:v>
                </c:pt>
                <c:pt idx="34">
                  <c:v>47178</c:v>
                </c:pt>
                <c:pt idx="35">
                  <c:v>47209</c:v>
                </c:pt>
                <c:pt idx="36">
                  <c:v>47239</c:v>
                </c:pt>
                <c:pt idx="37">
                  <c:v>47270</c:v>
                </c:pt>
                <c:pt idx="38">
                  <c:v>47300</c:v>
                </c:pt>
                <c:pt idx="39">
                  <c:v>47331</c:v>
                </c:pt>
                <c:pt idx="40">
                  <c:v>47362</c:v>
                </c:pt>
                <c:pt idx="41">
                  <c:v>47392</c:v>
                </c:pt>
                <c:pt idx="42">
                  <c:v>47423</c:v>
                </c:pt>
                <c:pt idx="43">
                  <c:v>47453</c:v>
                </c:pt>
                <c:pt idx="44">
                  <c:v>47484</c:v>
                </c:pt>
                <c:pt idx="45">
                  <c:v>47515</c:v>
                </c:pt>
                <c:pt idx="46">
                  <c:v>47543</c:v>
                </c:pt>
                <c:pt idx="47">
                  <c:v>47574</c:v>
                </c:pt>
                <c:pt idx="48">
                  <c:v>47604</c:v>
                </c:pt>
                <c:pt idx="49">
                  <c:v>47635</c:v>
                </c:pt>
                <c:pt idx="50">
                  <c:v>47665</c:v>
                </c:pt>
                <c:pt idx="51">
                  <c:v>47696</c:v>
                </c:pt>
                <c:pt idx="52">
                  <c:v>47727</c:v>
                </c:pt>
                <c:pt idx="53">
                  <c:v>47757</c:v>
                </c:pt>
                <c:pt idx="54">
                  <c:v>47788</c:v>
                </c:pt>
                <c:pt idx="55">
                  <c:v>47818</c:v>
                </c:pt>
                <c:pt idx="56">
                  <c:v>47849</c:v>
                </c:pt>
                <c:pt idx="57">
                  <c:v>47880</c:v>
                </c:pt>
                <c:pt idx="58">
                  <c:v>47908</c:v>
                </c:pt>
                <c:pt idx="59">
                  <c:v>47939</c:v>
                </c:pt>
              </c:numCache>
            </c:numRef>
          </c:cat>
          <c:val>
            <c:numRef>
              <c:f>'bases para graficos'!$B$2:$B$61</c:f>
              <c:numCache>
                <c:formatCode>General</c:formatCode>
                <c:ptCount val="60"/>
                <c:pt idx="0">
                  <c:v>1199.4911318882901</c:v>
                </c:pt>
                <c:pt idx="1">
                  <c:v>1213.87892126058</c:v>
                </c:pt>
                <c:pt idx="2">
                  <c:v>1228.43929221743</c:v>
                </c:pt>
                <c:pt idx="3">
                  <c:v>1243.1743114820699</c:v>
                </c:pt>
                <c:pt idx="4">
                  <c:v>1258.0860781639699</c:v>
                </c:pt>
                <c:pt idx="5">
                  <c:v>1273.1767081655</c:v>
                </c:pt>
                <c:pt idx="6">
                  <c:v>1288.4483497752699</c:v>
                </c:pt>
                <c:pt idx="7">
                  <c:v>1303.9031740722301</c:v>
                </c:pt>
                <c:pt idx="8">
                  <c:v>1319.54337732463</c:v>
                </c:pt>
                <c:pt idx="9">
                  <c:v>1335.3711821895599</c:v>
                </c:pt>
                <c:pt idx="10">
                  <c:v>1351.38884131135</c:v>
                </c:pt>
                <c:pt idx="11">
                  <c:v>1367.5986313241699</c:v>
                </c:pt>
                <c:pt idx="12">
                  <c:v>1384.002855251</c:v>
                </c:pt>
                <c:pt idx="13">
                  <c:v>1400.6038473015799</c:v>
                </c:pt>
                <c:pt idx="14">
                  <c:v>1417.4039656754701</c:v>
                </c:pt>
                <c:pt idx="15">
                  <c:v>1434.4056009584999</c:v>
                </c:pt>
                <c:pt idx="16">
                  <c:v>1451.61116892581</c:v>
                </c:pt>
                <c:pt idx="17">
                  <c:v>1469.0231153398099</c:v>
                </c:pt>
                <c:pt idx="18">
                  <c:v>1486.6439183492</c:v>
                </c:pt>
                <c:pt idx="19">
                  <c:v>1504.47608009245</c:v>
                </c:pt>
                <c:pt idx="20">
                  <c:v>1522.5221374933301</c:v>
                </c:pt>
                <c:pt idx="21">
                  <c:v>1540.7846550638701</c:v>
                </c:pt>
                <c:pt idx="22">
                  <c:v>1559.2662297023701</c:v>
                </c:pt>
                <c:pt idx="23">
                  <c:v>1577.9694906933901</c:v>
                </c:pt>
                <c:pt idx="24">
                  <c:v>1596.8970949098</c:v>
                </c:pt>
                <c:pt idx="25">
                  <c:v>1616.0517340096801</c:v>
                </c:pt>
                <c:pt idx="26">
                  <c:v>1635.43613083791</c:v>
                </c:pt>
                <c:pt idx="27">
                  <c:v>1655.0530418251101</c:v>
                </c:pt>
                <c:pt idx="28">
                  <c:v>1674.9052569876501</c:v>
                </c:pt>
                <c:pt idx="29">
                  <c:v>1694.99559632918</c:v>
                </c:pt>
                <c:pt idx="30">
                  <c:v>1715.32691823708</c:v>
                </c:pt>
                <c:pt idx="31">
                  <c:v>1735.9021122854799</c:v>
                </c:pt>
                <c:pt idx="32">
                  <c:v>1756.7241040332401</c:v>
                </c:pt>
                <c:pt idx="33">
                  <c:v>1777.79585502397</c:v>
                </c:pt>
                <c:pt idx="34">
                  <c:v>1799.1203579880601</c:v>
                </c:pt>
                <c:pt idx="35">
                  <c:v>1820.70064763805</c:v>
                </c:pt>
                <c:pt idx="36">
                  <c:v>1842.5397898732899</c:v>
                </c:pt>
                <c:pt idx="37">
                  <c:v>1864.6408913758</c:v>
                </c:pt>
                <c:pt idx="38">
                  <c:v>1887.00709361286</c:v>
                </c:pt>
                <c:pt idx="39">
                  <c:v>1909.6415764354599</c:v>
                </c:pt>
                <c:pt idx="40">
                  <c:v>1932.54755807831</c:v>
                </c:pt>
                <c:pt idx="41">
                  <c:v>1955.7282939603399</c:v>
                </c:pt>
                <c:pt idx="42">
                  <c:v>1979.18708148267</c:v>
                </c:pt>
                <c:pt idx="43">
                  <c:v>2002.92725523065</c:v>
                </c:pt>
                <c:pt idx="44">
                  <c:v>2026.95219057232</c:v>
                </c:pt>
                <c:pt idx="45">
                  <c:v>2051.2653012594401</c:v>
                </c:pt>
                <c:pt idx="46">
                  <c:v>2075.87004662444</c:v>
                </c:pt>
                <c:pt idx="47">
                  <c:v>2100.76992438346</c:v>
                </c:pt>
                <c:pt idx="48">
                  <c:v>2125.9684730353401</c:v>
                </c:pt>
                <c:pt idx="49">
                  <c:v>2151.4692766595799</c:v>
                </c:pt>
                <c:pt idx="50">
                  <c:v>2177.2759601183802</c:v>
                </c:pt>
                <c:pt idx="51">
                  <c:v>2203.3921914556199</c:v>
                </c:pt>
                <c:pt idx="52">
                  <c:v>2229.8216854953398</c:v>
                </c:pt>
                <c:pt idx="53">
                  <c:v>2256.5681990437602</c:v>
                </c:pt>
                <c:pt idx="54">
                  <c:v>2283.6355344877702</c:v>
                </c:pt>
                <c:pt idx="55">
                  <c:v>2311.0275397949199</c:v>
                </c:pt>
                <c:pt idx="56">
                  <c:v>2338.7481109124101</c:v>
                </c:pt>
                <c:pt idx="57">
                  <c:v>2366.80118696912</c:v>
                </c:pt>
                <c:pt idx="58">
                  <c:v>2395.1907574725401</c:v>
                </c:pt>
                <c:pt idx="59">
                  <c:v>2423.9208575108601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58-41B3-8415-38E343715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3381984"/>
        <c:axId val="1114207695"/>
      </c:lineChart>
      <c:dateAx>
        <c:axId val="1713381984"/>
        <c:scaling>
          <c:orientation val="minMax"/>
          <c:max val="47939"/>
          <c:min val="46143"/>
        </c:scaling>
        <c:delete val="0"/>
        <c:axPos val="b"/>
        <c:numFmt formatCode="mm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4207695"/>
        <c:crosses val="autoZero"/>
        <c:auto val="0"/>
        <c:lblOffset val="100"/>
        <c:baseTimeUnit val="months"/>
        <c:majorUnit val="12"/>
        <c:majorTimeUnit val="months"/>
      </c:dateAx>
      <c:valAx>
        <c:axId val="111420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338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Evolução de Receita</a:t>
            </a:r>
            <a:r>
              <a:rPr lang="en-US" baseline="0"/>
              <a:t> Mensal - Poupança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1494731846501545E-2"/>
          <c:y val="0.16245370370370371"/>
          <c:w val="0.89193227362566452"/>
          <c:h val="0.54424139690871975"/>
        </c:manualLayout>
      </c:layout>
      <c:lineChart>
        <c:grouping val="standard"/>
        <c:varyColors val="0"/>
        <c:ser>
          <c:idx val="1"/>
          <c:order val="0"/>
          <c:tx>
            <c:strRef>
              <c:f>'rendimentos mensais calculos'!$AA$1</c:f>
              <c:strCache>
                <c:ptCount val="1"/>
                <c:pt idx="0">
                  <c:v> Receita Bruta </c:v>
                </c:pt>
              </c:strCache>
            </c:strRef>
          </c:tx>
          <c:marker>
            <c:symbol val="circle"/>
            <c:size val="3"/>
          </c:marker>
          <c:cat>
            <c:numRef>
              <c:f>'rendimentos mensais calculos'!$W$2:$W$61</c:f>
              <c:numCache>
                <c:formatCode>mmm\-yy</c:formatCode>
                <c:ptCount val="60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  <c:pt idx="6">
                  <c:v>46327</c:v>
                </c:pt>
                <c:pt idx="7">
                  <c:v>46357</c:v>
                </c:pt>
                <c:pt idx="8">
                  <c:v>46388</c:v>
                </c:pt>
                <c:pt idx="9">
                  <c:v>46419</c:v>
                </c:pt>
                <c:pt idx="10">
                  <c:v>46447</c:v>
                </c:pt>
                <c:pt idx="11">
                  <c:v>46478</c:v>
                </c:pt>
                <c:pt idx="12">
                  <c:v>46508</c:v>
                </c:pt>
                <c:pt idx="13">
                  <c:v>46539</c:v>
                </c:pt>
                <c:pt idx="14">
                  <c:v>46569</c:v>
                </c:pt>
                <c:pt idx="15">
                  <c:v>46600</c:v>
                </c:pt>
                <c:pt idx="16">
                  <c:v>46631</c:v>
                </c:pt>
                <c:pt idx="17">
                  <c:v>46661</c:v>
                </c:pt>
                <c:pt idx="18">
                  <c:v>46692</c:v>
                </c:pt>
                <c:pt idx="19">
                  <c:v>46722</c:v>
                </c:pt>
                <c:pt idx="20">
                  <c:v>46753</c:v>
                </c:pt>
                <c:pt idx="21">
                  <c:v>46784</c:v>
                </c:pt>
                <c:pt idx="22">
                  <c:v>46813</c:v>
                </c:pt>
                <c:pt idx="23">
                  <c:v>46844</c:v>
                </c:pt>
                <c:pt idx="24">
                  <c:v>46874</c:v>
                </c:pt>
                <c:pt idx="25">
                  <c:v>46905</c:v>
                </c:pt>
                <c:pt idx="26">
                  <c:v>46935</c:v>
                </c:pt>
                <c:pt idx="27">
                  <c:v>46966</c:v>
                </c:pt>
                <c:pt idx="28">
                  <c:v>46997</c:v>
                </c:pt>
                <c:pt idx="29">
                  <c:v>47027</c:v>
                </c:pt>
                <c:pt idx="30">
                  <c:v>47058</c:v>
                </c:pt>
                <c:pt idx="31">
                  <c:v>47088</c:v>
                </c:pt>
                <c:pt idx="32">
                  <c:v>47119</c:v>
                </c:pt>
                <c:pt idx="33">
                  <c:v>47150</c:v>
                </c:pt>
                <c:pt idx="34">
                  <c:v>47178</c:v>
                </c:pt>
                <c:pt idx="35">
                  <c:v>47209</c:v>
                </c:pt>
                <c:pt idx="36">
                  <c:v>47239</c:v>
                </c:pt>
                <c:pt idx="37">
                  <c:v>47270</c:v>
                </c:pt>
                <c:pt idx="38">
                  <c:v>47300</c:v>
                </c:pt>
                <c:pt idx="39">
                  <c:v>47331</c:v>
                </c:pt>
                <c:pt idx="40">
                  <c:v>47362</c:v>
                </c:pt>
                <c:pt idx="41">
                  <c:v>47392</c:v>
                </c:pt>
                <c:pt idx="42">
                  <c:v>47423</c:v>
                </c:pt>
                <c:pt idx="43">
                  <c:v>47453</c:v>
                </c:pt>
                <c:pt idx="44">
                  <c:v>47484</c:v>
                </c:pt>
                <c:pt idx="45">
                  <c:v>47515</c:v>
                </c:pt>
                <c:pt idx="46">
                  <c:v>47543</c:v>
                </c:pt>
                <c:pt idx="47">
                  <c:v>47574</c:v>
                </c:pt>
                <c:pt idx="48">
                  <c:v>47604</c:v>
                </c:pt>
                <c:pt idx="49">
                  <c:v>47635</c:v>
                </c:pt>
                <c:pt idx="50">
                  <c:v>47665</c:v>
                </c:pt>
                <c:pt idx="51">
                  <c:v>47696</c:v>
                </c:pt>
                <c:pt idx="52">
                  <c:v>47727</c:v>
                </c:pt>
                <c:pt idx="53">
                  <c:v>47757</c:v>
                </c:pt>
                <c:pt idx="54">
                  <c:v>47788</c:v>
                </c:pt>
                <c:pt idx="55">
                  <c:v>47818</c:v>
                </c:pt>
                <c:pt idx="56">
                  <c:v>47849</c:v>
                </c:pt>
                <c:pt idx="57">
                  <c:v>47880</c:v>
                </c:pt>
                <c:pt idx="58">
                  <c:v>47908</c:v>
                </c:pt>
                <c:pt idx="59">
                  <c:v>47939</c:v>
                </c:pt>
              </c:numCache>
            </c:numRef>
          </c:cat>
          <c:val>
            <c:numRef>
              <c:f>'rendimentos mensais calculos'!$E$1:$E$61</c:f>
              <c:numCache>
                <c:formatCode>_("R$"* #,##0.00_);_("R$"* \(#,##0.00\);_("R$"* "-"??_);_(@_)</c:formatCode>
                <c:ptCount val="61"/>
                <c:pt idx="0">
                  <c:v>0</c:v>
                </c:pt>
                <c:pt idx="1">
                  <c:v>667.61282769228728</c:v>
                </c:pt>
                <c:pt idx="2">
                  <c:v>672.06989638440291</c:v>
                </c:pt>
                <c:pt idx="3">
                  <c:v>676.55672124786167</c:v>
                </c:pt>
                <c:pt idx="4">
                  <c:v>681.07350056367329</c:v>
                </c:pt>
                <c:pt idx="5">
                  <c:v>685.62043461568612</c:v>
                </c:pt>
                <c:pt idx="6">
                  <c:v>690.19772502297405</c:v>
                </c:pt>
                <c:pt idx="7">
                  <c:v>694.80557340461121</c:v>
                </c:pt>
                <c:pt idx="8">
                  <c:v>699.44418471773565</c:v>
                </c:pt>
                <c:pt idx="9">
                  <c:v>704.11376391948534</c:v>
                </c:pt>
                <c:pt idx="10">
                  <c:v>708.81451730222409</c:v>
                </c:pt>
                <c:pt idx="11">
                  <c:v>713.54665382876703</c:v>
                </c:pt>
                <c:pt idx="12">
                  <c:v>718.31038312954206</c:v>
                </c:pt>
                <c:pt idx="13">
                  <c:v>723.10591550258982</c:v>
                </c:pt>
                <c:pt idx="14">
                  <c:v>727.93346324878962</c:v>
                </c:pt>
                <c:pt idx="15">
                  <c:v>732.79324067185905</c:v>
                </c:pt>
                <c:pt idx="16">
                  <c:v>737.68546207551583</c:v>
                </c:pt>
                <c:pt idx="17">
                  <c:v>742.61034510154172</c:v>
                </c:pt>
                <c:pt idx="18">
                  <c:v>747.56810672410597</c:v>
                </c:pt>
                <c:pt idx="19">
                  <c:v>752.55896725544142</c:v>
                </c:pt>
                <c:pt idx="20">
                  <c:v>757.58314767539434</c:v>
                </c:pt>
                <c:pt idx="21">
                  <c:v>762.64086963142313</c:v>
                </c:pt>
                <c:pt idx="22">
                  <c:v>767.73235810905101</c:v>
                </c:pt>
                <c:pt idx="23">
                  <c:v>772.85783809380098</c:v>
                </c:pt>
                <c:pt idx="24">
                  <c:v>778.01753590642136</c:v>
                </c:pt>
                <c:pt idx="25">
                  <c:v>783.2116805381122</c:v>
                </c:pt>
                <c:pt idx="26">
                  <c:v>788.440502315299</c:v>
                </c:pt>
                <c:pt idx="27">
                  <c:v>793.70423223202022</c:v>
                </c:pt>
                <c:pt idx="28">
                  <c:v>799.00310328515275</c:v>
                </c:pt>
                <c:pt idx="29">
                  <c:v>804.33735114202454</c:v>
                </c:pt>
                <c:pt idx="30">
                  <c:v>809.70721013473826</c:v>
                </c:pt>
                <c:pt idx="31">
                  <c:v>815.11291926868637</c:v>
                </c:pt>
                <c:pt idx="32">
                  <c:v>820.55471754926089</c:v>
                </c:pt>
                <c:pt idx="33">
                  <c:v>826.03284598469293</c:v>
                </c:pt>
                <c:pt idx="34">
                  <c:v>831.54754758605145</c:v>
                </c:pt>
                <c:pt idx="35">
                  <c:v>837.09906536440599</c:v>
                </c:pt>
                <c:pt idx="36">
                  <c:v>842.68764633650278</c:v>
                </c:pt>
                <c:pt idx="37">
                  <c:v>848.31353751908784</c:v>
                </c:pt>
                <c:pt idx="38">
                  <c:v>853.9769872641333</c:v>
                </c:pt>
                <c:pt idx="39">
                  <c:v>859.67824726167498</c:v>
                </c:pt>
                <c:pt idx="40">
                  <c:v>865.41756920174907</c:v>
                </c:pt>
                <c:pt idx="41">
                  <c:v>871.19520811245582</c:v>
                </c:pt>
                <c:pt idx="42">
                  <c:v>877.01141902189534</c:v>
                </c:pt>
                <c:pt idx="43">
                  <c:v>882.86645962861917</c:v>
                </c:pt>
                <c:pt idx="44">
                  <c:v>888.76058963401692</c:v>
                </c:pt>
                <c:pt idx="45">
                  <c:v>894.69406940709189</c:v>
                </c:pt>
                <c:pt idx="46">
                  <c:v>900.66716131968531</c:v>
                </c:pt>
                <c:pt idx="47">
                  <c:v>906.68013108170226</c:v>
                </c:pt>
                <c:pt idx="48">
                  <c:v>912.73324373543551</c:v>
                </c:pt>
                <c:pt idx="49">
                  <c:v>918.82676832885454</c:v>
                </c:pt>
                <c:pt idx="50">
                  <c:v>924.9609732423163</c:v>
                </c:pt>
                <c:pt idx="51">
                  <c:v>931.13613152946698</c:v>
                </c:pt>
                <c:pt idx="52">
                  <c:v>937.35251557634069</c:v>
                </c:pt>
                <c:pt idx="53">
                  <c:v>943.61040177464804</c:v>
                </c:pt>
                <c:pt idx="54">
                  <c:v>949.91006584848651</c:v>
                </c:pt>
                <c:pt idx="55">
                  <c:v>956.25178686001834</c:v>
                </c:pt>
                <c:pt idx="56">
                  <c:v>962.63584654185672</c:v>
                </c:pt>
                <c:pt idx="57">
                  <c:v>969.06252729422783</c:v>
                </c:pt>
                <c:pt idx="58">
                  <c:v>975.5321128525834</c:v>
                </c:pt>
                <c:pt idx="59">
                  <c:v>982.04489029043918</c:v>
                </c:pt>
                <c:pt idx="60">
                  <c:v>988.60114801653719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3-4578-927B-3779ABE9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858864"/>
        <c:axId val="60085934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'rendimentos mensais calculos'!$AA$1</c15:sqref>
                        </c15:formulaRef>
                      </c:ext>
                    </c:extLst>
                    <c:strCache>
                      <c:ptCount val="1"/>
                      <c:pt idx="0">
                        <c:v> Receita Bruta 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'rendimentos mensais calculos'!$W$2:$W$61</c15:sqref>
                        </c15:formulaRef>
                      </c:ext>
                    </c:extLst>
                    <c:numCache>
                      <c:formatCode>mmm\-yy</c:formatCode>
                      <c:ptCount val="60"/>
                      <c:pt idx="0">
                        <c:v>46143</c:v>
                      </c:pt>
                      <c:pt idx="1">
                        <c:v>46174</c:v>
                      </c:pt>
                      <c:pt idx="2">
                        <c:v>46204</c:v>
                      </c:pt>
                      <c:pt idx="3">
                        <c:v>46235</c:v>
                      </c:pt>
                      <c:pt idx="4">
                        <c:v>46266</c:v>
                      </c:pt>
                      <c:pt idx="5">
                        <c:v>46296</c:v>
                      </c:pt>
                      <c:pt idx="6">
                        <c:v>46327</c:v>
                      </c:pt>
                      <c:pt idx="7">
                        <c:v>46357</c:v>
                      </c:pt>
                      <c:pt idx="8">
                        <c:v>46388</c:v>
                      </c:pt>
                      <c:pt idx="9">
                        <c:v>46419</c:v>
                      </c:pt>
                      <c:pt idx="10">
                        <c:v>46447</c:v>
                      </c:pt>
                      <c:pt idx="11">
                        <c:v>46478</c:v>
                      </c:pt>
                      <c:pt idx="12">
                        <c:v>46508</c:v>
                      </c:pt>
                      <c:pt idx="13">
                        <c:v>46539</c:v>
                      </c:pt>
                      <c:pt idx="14">
                        <c:v>46569</c:v>
                      </c:pt>
                      <c:pt idx="15">
                        <c:v>46600</c:v>
                      </c:pt>
                      <c:pt idx="16">
                        <c:v>46631</c:v>
                      </c:pt>
                      <c:pt idx="17">
                        <c:v>46661</c:v>
                      </c:pt>
                      <c:pt idx="18">
                        <c:v>46692</c:v>
                      </c:pt>
                      <c:pt idx="19">
                        <c:v>46722</c:v>
                      </c:pt>
                      <c:pt idx="20">
                        <c:v>46753</c:v>
                      </c:pt>
                      <c:pt idx="21">
                        <c:v>46784</c:v>
                      </c:pt>
                      <c:pt idx="22">
                        <c:v>46813</c:v>
                      </c:pt>
                      <c:pt idx="23">
                        <c:v>46844</c:v>
                      </c:pt>
                      <c:pt idx="24">
                        <c:v>46874</c:v>
                      </c:pt>
                      <c:pt idx="25">
                        <c:v>46905</c:v>
                      </c:pt>
                      <c:pt idx="26">
                        <c:v>46935</c:v>
                      </c:pt>
                      <c:pt idx="27">
                        <c:v>46966</c:v>
                      </c:pt>
                      <c:pt idx="28">
                        <c:v>46997</c:v>
                      </c:pt>
                      <c:pt idx="29">
                        <c:v>47027</c:v>
                      </c:pt>
                      <c:pt idx="30">
                        <c:v>47058</c:v>
                      </c:pt>
                      <c:pt idx="31">
                        <c:v>47088</c:v>
                      </c:pt>
                      <c:pt idx="32">
                        <c:v>47119</c:v>
                      </c:pt>
                      <c:pt idx="33">
                        <c:v>47150</c:v>
                      </c:pt>
                      <c:pt idx="34">
                        <c:v>47178</c:v>
                      </c:pt>
                      <c:pt idx="35">
                        <c:v>47209</c:v>
                      </c:pt>
                      <c:pt idx="36">
                        <c:v>47239</c:v>
                      </c:pt>
                      <c:pt idx="37">
                        <c:v>47270</c:v>
                      </c:pt>
                      <c:pt idx="38">
                        <c:v>47300</c:v>
                      </c:pt>
                      <c:pt idx="39">
                        <c:v>47331</c:v>
                      </c:pt>
                      <c:pt idx="40">
                        <c:v>47362</c:v>
                      </c:pt>
                      <c:pt idx="41">
                        <c:v>47392</c:v>
                      </c:pt>
                      <c:pt idx="42">
                        <c:v>47423</c:v>
                      </c:pt>
                      <c:pt idx="43">
                        <c:v>47453</c:v>
                      </c:pt>
                      <c:pt idx="44">
                        <c:v>47484</c:v>
                      </c:pt>
                      <c:pt idx="45">
                        <c:v>47515</c:v>
                      </c:pt>
                      <c:pt idx="46">
                        <c:v>47543</c:v>
                      </c:pt>
                      <c:pt idx="47">
                        <c:v>47574</c:v>
                      </c:pt>
                      <c:pt idx="48">
                        <c:v>47604</c:v>
                      </c:pt>
                      <c:pt idx="49">
                        <c:v>47635</c:v>
                      </c:pt>
                      <c:pt idx="50">
                        <c:v>47665</c:v>
                      </c:pt>
                      <c:pt idx="51">
                        <c:v>47696</c:v>
                      </c:pt>
                      <c:pt idx="52">
                        <c:v>47727</c:v>
                      </c:pt>
                      <c:pt idx="53">
                        <c:v>47757</c:v>
                      </c:pt>
                      <c:pt idx="54">
                        <c:v>47788</c:v>
                      </c:pt>
                      <c:pt idx="55">
                        <c:v>47818</c:v>
                      </c:pt>
                      <c:pt idx="56">
                        <c:v>47849</c:v>
                      </c:pt>
                      <c:pt idx="57">
                        <c:v>47880</c:v>
                      </c:pt>
                      <c:pt idx="58">
                        <c:v>47908</c:v>
                      </c:pt>
                      <c:pt idx="59">
                        <c:v>47939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'rendimentos mensais calculos'!$AA$2:$AA$61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60"/>
                      <c:pt idx="0">
                        <c:v>1199.4911318882862</c:v>
                      </c:pt>
                      <c:pt idx="1">
                        <c:v>1213.8789212605755</c:v>
                      </c:pt>
                      <c:pt idx="2">
                        <c:v>1228.4392922174295</c:v>
                      </c:pt>
                      <c:pt idx="3">
                        <c:v>1243.174311482069</c:v>
                      </c:pt>
                      <c:pt idx="4">
                        <c:v>1258.0860781639744</c:v>
                      </c:pt>
                      <c:pt idx="5">
                        <c:v>1273.1767081655023</c:v>
                      </c:pt>
                      <c:pt idx="6">
                        <c:v>1288.4483497752706</c:v>
                      </c:pt>
                      <c:pt idx="7">
                        <c:v>1303.9031740722269</c:v>
                      </c:pt>
                      <c:pt idx="8">
                        <c:v>1319.5433773246345</c:v>
                      </c:pt>
                      <c:pt idx="9">
                        <c:v>1335.3711821895606</c:v>
                      </c:pt>
                      <c:pt idx="10">
                        <c:v>1351.3888413113507</c:v>
                      </c:pt>
                      <c:pt idx="11">
                        <c:v>1367.5986313241735</c:v>
                      </c:pt>
                      <c:pt idx="12">
                        <c:v>1384.0028552510018</c:v>
                      </c:pt>
                      <c:pt idx="13">
                        <c:v>1400.6038473015785</c:v>
                      </c:pt>
                      <c:pt idx="14">
                        <c:v>1417.403965675469</c:v>
                      </c:pt>
                      <c:pt idx="15">
                        <c:v>1434.4056009584986</c:v>
                      </c:pt>
                      <c:pt idx="16">
                        <c:v>1451.6111689258075</c:v>
                      </c:pt>
                      <c:pt idx="17">
                        <c:v>1469.0231153398138</c:v>
                      </c:pt>
                      <c:pt idx="18">
                        <c:v>1486.6439183491952</c:v>
                      </c:pt>
                      <c:pt idx="19">
                        <c:v>1504.4760800924532</c:v>
                      </c:pt>
                      <c:pt idx="20">
                        <c:v>1522.5221374933321</c:v>
                      </c:pt>
                      <c:pt idx="21">
                        <c:v>1540.7846550638715</c:v>
                      </c:pt>
                      <c:pt idx="22">
                        <c:v>1559.2662297023717</c:v>
                      </c:pt>
                      <c:pt idx="23">
                        <c:v>1577.9694906933942</c:v>
                      </c:pt>
                      <c:pt idx="24">
                        <c:v>1596.8970949097961</c:v>
                      </c:pt>
                      <c:pt idx="25">
                        <c:v>1616.0517340096774</c:v>
                      </c:pt>
                      <c:pt idx="26">
                        <c:v>1635.4361308379075</c:v>
                      </c:pt>
                      <c:pt idx="27">
                        <c:v>1655.0530418251071</c:v>
                      </c:pt>
                      <c:pt idx="28">
                        <c:v>1674.9052569876492</c:v>
                      </c:pt>
                      <c:pt idx="29">
                        <c:v>1694.995596329185</c:v>
                      </c:pt>
                      <c:pt idx="30">
                        <c:v>1715.3269182370816</c:v>
                      </c:pt>
                      <c:pt idx="31">
                        <c:v>1735.9021122854761</c:v>
                      </c:pt>
                      <c:pt idx="32">
                        <c:v>1756.7241040332385</c:v>
                      </c:pt>
                      <c:pt idx="33">
                        <c:v>1777.7958550239739</c:v>
                      </c:pt>
                      <c:pt idx="34">
                        <c:v>1799.1203579880562</c:v>
                      </c:pt>
                      <c:pt idx="35">
                        <c:v>1820.7006476380491</c:v>
                      </c:pt>
                      <c:pt idx="36">
                        <c:v>1842.5397898732861</c:v>
                      </c:pt>
                      <c:pt idx="37">
                        <c:v>1864.6408913757982</c:v>
                      </c:pt>
                      <c:pt idx="38">
                        <c:v>1887.0070936128602</c:v>
                      </c:pt>
                      <c:pt idx="39">
                        <c:v>1909.6415764354626</c:v>
                      </c:pt>
                      <c:pt idx="40">
                        <c:v>1932.547558078312</c:v>
                      </c:pt>
                      <c:pt idx="41">
                        <c:v>1955.7282939603408</c:v>
                      </c:pt>
                      <c:pt idx="42">
                        <c:v>1979.1870814826702</c:v>
                      </c:pt>
                      <c:pt idx="43">
                        <c:v>2002.9272552306475</c:v>
                      </c:pt>
                      <c:pt idx="44">
                        <c:v>2026.952190572317</c:v>
                      </c:pt>
                      <c:pt idx="45">
                        <c:v>2051.2653012594401</c:v>
                      </c:pt>
                      <c:pt idx="46">
                        <c:v>2075.8700466244418</c:v>
                      </c:pt>
                      <c:pt idx="47">
                        <c:v>2100.7699243834622</c:v>
                      </c:pt>
                      <c:pt idx="48">
                        <c:v>2125.9684730353406</c:v>
                      </c:pt>
                      <c:pt idx="49">
                        <c:v>2151.4692766595795</c:v>
                      </c:pt>
                      <c:pt idx="50">
                        <c:v>2177.2759601183784</c:v>
                      </c:pt>
                      <c:pt idx="51">
                        <c:v>2203.392191455619</c:v>
                      </c:pt>
                      <c:pt idx="52">
                        <c:v>2229.8216854953375</c:v>
                      </c:pt>
                      <c:pt idx="53">
                        <c:v>2256.5681990437579</c:v>
                      </c:pt>
                      <c:pt idx="54">
                        <c:v>2283.6355344877688</c:v>
                      </c:pt>
                      <c:pt idx="55">
                        <c:v>2311.0275397949217</c:v>
                      </c:pt>
                      <c:pt idx="56">
                        <c:v>2338.7481109124124</c:v>
                      </c:pt>
                      <c:pt idx="57">
                        <c:v>2366.8011869691181</c:v>
                      </c:pt>
                      <c:pt idx="58">
                        <c:v>2395.1907574725437</c:v>
                      </c:pt>
                      <c:pt idx="59">
                        <c:v>2423.9208575108564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093-4578-927B-3779ABE98A86}"/>
                  </c:ext>
                </c:extLst>
              </c15:ser>
            </c15:filteredLineSeries>
          </c:ext>
        </c:extLst>
      </c:lineChart>
      <c:dateAx>
        <c:axId val="600858864"/>
        <c:scaling>
          <c:orientation val="minMax"/>
          <c:max val="47969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9344"/>
        <c:crosses val="autoZero"/>
        <c:auto val="1"/>
        <c:lblOffset val="100"/>
        <c:baseTimeUnit val="months"/>
        <c:majorUnit val="3"/>
        <c:majorTimeUnit val="months"/>
      </c:dateAx>
      <c:valAx>
        <c:axId val="600859344"/>
        <c:scaling>
          <c:orientation val="minMax"/>
          <c:max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886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Evolução de Receita</a:t>
            </a:r>
            <a:r>
              <a:rPr lang="en-US" baseline="0"/>
              <a:t> Mensal - CDB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1494731846501545E-2"/>
          <c:y val="0.16245370370370371"/>
          <c:w val="0.89193227362566452"/>
          <c:h val="0.54424139690871975"/>
        </c:manualLayout>
      </c:layout>
      <c:lineChart>
        <c:grouping val="standard"/>
        <c:varyColors val="0"/>
        <c:ser>
          <c:idx val="0"/>
          <c:order val="1"/>
          <c:tx>
            <c:strRef>
              <c:f>'rendimentos mensais calculos'!$AA$1</c:f>
              <c:strCache>
                <c:ptCount val="1"/>
                <c:pt idx="0">
                  <c:v> Receita Bruta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4"/>
          </c:marker>
          <c:cat>
            <c:numRef>
              <c:f>'rendimentos mensais calculos'!$W$2:$W$61</c:f>
              <c:numCache>
                <c:formatCode>mmm\-yy</c:formatCode>
                <c:ptCount val="60"/>
                <c:pt idx="0">
                  <c:v>46143</c:v>
                </c:pt>
                <c:pt idx="1">
                  <c:v>46174</c:v>
                </c:pt>
                <c:pt idx="2">
                  <c:v>46204</c:v>
                </c:pt>
                <c:pt idx="3">
                  <c:v>46235</c:v>
                </c:pt>
                <c:pt idx="4">
                  <c:v>46266</c:v>
                </c:pt>
                <c:pt idx="5">
                  <c:v>46296</c:v>
                </c:pt>
                <c:pt idx="6">
                  <c:v>46327</c:v>
                </c:pt>
                <c:pt idx="7">
                  <c:v>46357</c:v>
                </c:pt>
                <c:pt idx="8">
                  <c:v>46388</c:v>
                </c:pt>
                <c:pt idx="9">
                  <c:v>46419</c:v>
                </c:pt>
                <c:pt idx="10">
                  <c:v>46447</c:v>
                </c:pt>
                <c:pt idx="11">
                  <c:v>46478</c:v>
                </c:pt>
                <c:pt idx="12">
                  <c:v>46508</c:v>
                </c:pt>
                <c:pt idx="13">
                  <c:v>46539</c:v>
                </c:pt>
                <c:pt idx="14">
                  <c:v>46569</c:v>
                </c:pt>
                <c:pt idx="15">
                  <c:v>46600</c:v>
                </c:pt>
                <c:pt idx="16">
                  <c:v>46631</c:v>
                </c:pt>
                <c:pt idx="17">
                  <c:v>46661</c:v>
                </c:pt>
                <c:pt idx="18">
                  <c:v>46692</c:v>
                </c:pt>
                <c:pt idx="19">
                  <c:v>46722</c:v>
                </c:pt>
                <c:pt idx="20">
                  <c:v>46753</c:v>
                </c:pt>
                <c:pt idx="21">
                  <c:v>46784</c:v>
                </c:pt>
                <c:pt idx="22">
                  <c:v>46813</c:v>
                </c:pt>
                <c:pt idx="23">
                  <c:v>46844</c:v>
                </c:pt>
                <c:pt idx="24">
                  <c:v>46874</c:v>
                </c:pt>
                <c:pt idx="25">
                  <c:v>46905</c:v>
                </c:pt>
                <c:pt idx="26">
                  <c:v>46935</c:v>
                </c:pt>
                <c:pt idx="27">
                  <c:v>46966</c:v>
                </c:pt>
                <c:pt idx="28">
                  <c:v>46997</c:v>
                </c:pt>
                <c:pt idx="29">
                  <c:v>47027</c:v>
                </c:pt>
                <c:pt idx="30">
                  <c:v>47058</c:v>
                </c:pt>
                <c:pt idx="31">
                  <c:v>47088</c:v>
                </c:pt>
                <c:pt idx="32">
                  <c:v>47119</c:v>
                </c:pt>
                <c:pt idx="33">
                  <c:v>47150</c:v>
                </c:pt>
                <c:pt idx="34">
                  <c:v>47178</c:v>
                </c:pt>
                <c:pt idx="35">
                  <c:v>47209</c:v>
                </c:pt>
                <c:pt idx="36">
                  <c:v>47239</c:v>
                </c:pt>
                <c:pt idx="37">
                  <c:v>47270</c:v>
                </c:pt>
                <c:pt idx="38">
                  <c:v>47300</c:v>
                </c:pt>
                <c:pt idx="39">
                  <c:v>47331</c:v>
                </c:pt>
                <c:pt idx="40">
                  <c:v>47362</c:v>
                </c:pt>
                <c:pt idx="41">
                  <c:v>47392</c:v>
                </c:pt>
                <c:pt idx="42">
                  <c:v>47423</c:v>
                </c:pt>
                <c:pt idx="43">
                  <c:v>47453</c:v>
                </c:pt>
                <c:pt idx="44">
                  <c:v>47484</c:v>
                </c:pt>
                <c:pt idx="45">
                  <c:v>47515</c:v>
                </c:pt>
                <c:pt idx="46">
                  <c:v>47543</c:v>
                </c:pt>
                <c:pt idx="47">
                  <c:v>47574</c:v>
                </c:pt>
                <c:pt idx="48">
                  <c:v>47604</c:v>
                </c:pt>
                <c:pt idx="49">
                  <c:v>47635</c:v>
                </c:pt>
                <c:pt idx="50">
                  <c:v>47665</c:v>
                </c:pt>
                <c:pt idx="51">
                  <c:v>47696</c:v>
                </c:pt>
                <c:pt idx="52">
                  <c:v>47727</c:v>
                </c:pt>
                <c:pt idx="53">
                  <c:v>47757</c:v>
                </c:pt>
                <c:pt idx="54">
                  <c:v>47788</c:v>
                </c:pt>
                <c:pt idx="55">
                  <c:v>47818</c:v>
                </c:pt>
                <c:pt idx="56">
                  <c:v>47849</c:v>
                </c:pt>
                <c:pt idx="57">
                  <c:v>47880</c:v>
                </c:pt>
                <c:pt idx="58">
                  <c:v>47908</c:v>
                </c:pt>
                <c:pt idx="59">
                  <c:v>47939</c:v>
                </c:pt>
              </c:numCache>
            </c:numRef>
          </c:cat>
          <c:val>
            <c:numRef>
              <c:f>'rendimentos mensais calculos'!$AA$2:$AA$61</c:f>
              <c:numCache>
                <c:formatCode>_("R$"* #,##0.00_);_("R$"* \(#,##0.00\);_("R$"* "-"??_);_(@_)</c:formatCode>
                <c:ptCount val="60"/>
                <c:pt idx="0">
                  <c:v>1199.4911318882862</c:v>
                </c:pt>
                <c:pt idx="1">
                  <c:v>1213.8789212605755</c:v>
                </c:pt>
                <c:pt idx="2">
                  <c:v>1228.4392922174295</c:v>
                </c:pt>
                <c:pt idx="3">
                  <c:v>1243.174311482069</c:v>
                </c:pt>
                <c:pt idx="4">
                  <c:v>1258.0860781639744</c:v>
                </c:pt>
                <c:pt idx="5">
                  <c:v>1273.1767081655023</c:v>
                </c:pt>
                <c:pt idx="6">
                  <c:v>1288.4483497752706</c:v>
                </c:pt>
                <c:pt idx="7">
                  <c:v>1303.9031740722269</c:v>
                </c:pt>
                <c:pt idx="8">
                  <c:v>1319.5433773246345</c:v>
                </c:pt>
                <c:pt idx="9">
                  <c:v>1335.3711821895606</c:v>
                </c:pt>
                <c:pt idx="10">
                  <c:v>1351.3888413113507</c:v>
                </c:pt>
                <c:pt idx="11">
                  <c:v>1367.5986313241735</c:v>
                </c:pt>
                <c:pt idx="12">
                  <c:v>1384.0028552510018</c:v>
                </c:pt>
                <c:pt idx="13">
                  <c:v>1400.6038473015785</c:v>
                </c:pt>
                <c:pt idx="14">
                  <c:v>1417.403965675469</c:v>
                </c:pt>
                <c:pt idx="15">
                  <c:v>1434.4056009584986</c:v>
                </c:pt>
                <c:pt idx="16">
                  <c:v>1451.6111689258075</c:v>
                </c:pt>
                <c:pt idx="17">
                  <c:v>1469.0231153398138</c:v>
                </c:pt>
                <c:pt idx="18">
                  <c:v>1486.6439183491952</c:v>
                </c:pt>
                <c:pt idx="19">
                  <c:v>1504.4760800924532</c:v>
                </c:pt>
                <c:pt idx="20">
                  <c:v>1522.5221374933321</c:v>
                </c:pt>
                <c:pt idx="21">
                  <c:v>1540.7846550638715</c:v>
                </c:pt>
                <c:pt idx="22">
                  <c:v>1559.2662297023717</c:v>
                </c:pt>
                <c:pt idx="23">
                  <c:v>1577.9694906933942</c:v>
                </c:pt>
                <c:pt idx="24">
                  <c:v>1596.8970949097961</c:v>
                </c:pt>
                <c:pt idx="25">
                  <c:v>1616.0517340096774</c:v>
                </c:pt>
                <c:pt idx="26">
                  <c:v>1635.4361308379075</c:v>
                </c:pt>
                <c:pt idx="27">
                  <c:v>1655.0530418251071</c:v>
                </c:pt>
                <c:pt idx="28">
                  <c:v>1674.9052569876492</c:v>
                </c:pt>
                <c:pt idx="29">
                  <c:v>1694.995596329185</c:v>
                </c:pt>
                <c:pt idx="30">
                  <c:v>1715.3269182370816</c:v>
                </c:pt>
                <c:pt idx="31">
                  <c:v>1735.9021122854761</c:v>
                </c:pt>
                <c:pt idx="32">
                  <c:v>1756.7241040332385</c:v>
                </c:pt>
                <c:pt idx="33">
                  <c:v>1777.7958550239739</c:v>
                </c:pt>
                <c:pt idx="34">
                  <c:v>1799.1203579880562</c:v>
                </c:pt>
                <c:pt idx="35">
                  <c:v>1820.7006476380491</c:v>
                </c:pt>
                <c:pt idx="36">
                  <c:v>1842.5397898732861</c:v>
                </c:pt>
                <c:pt idx="37">
                  <c:v>1864.6408913757982</c:v>
                </c:pt>
                <c:pt idx="38">
                  <c:v>1887.0070936128602</c:v>
                </c:pt>
                <c:pt idx="39">
                  <c:v>1909.6415764354626</c:v>
                </c:pt>
                <c:pt idx="40">
                  <c:v>1932.547558078312</c:v>
                </c:pt>
                <c:pt idx="41">
                  <c:v>1955.7282939603408</c:v>
                </c:pt>
                <c:pt idx="42">
                  <c:v>1979.1870814826702</c:v>
                </c:pt>
                <c:pt idx="43">
                  <c:v>2002.9272552306475</c:v>
                </c:pt>
                <c:pt idx="44">
                  <c:v>2026.952190572317</c:v>
                </c:pt>
                <c:pt idx="45">
                  <c:v>2051.2653012594401</c:v>
                </c:pt>
                <c:pt idx="46">
                  <c:v>2075.8700466244418</c:v>
                </c:pt>
                <c:pt idx="47">
                  <c:v>2100.7699243834622</c:v>
                </c:pt>
                <c:pt idx="48">
                  <c:v>2125.9684730353406</c:v>
                </c:pt>
                <c:pt idx="49">
                  <c:v>2151.4692766595795</c:v>
                </c:pt>
                <c:pt idx="50">
                  <c:v>2177.2759601183784</c:v>
                </c:pt>
                <c:pt idx="51">
                  <c:v>2203.392191455619</c:v>
                </c:pt>
                <c:pt idx="52">
                  <c:v>2229.8216854953375</c:v>
                </c:pt>
                <c:pt idx="53">
                  <c:v>2256.5681990437579</c:v>
                </c:pt>
                <c:pt idx="54">
                  <c:v>2283.6355344877688</c:v>
                </c:pt>
                <c:pt idx="55">
                  <c:v>2311.0275397949217</c:v>
                </c:pt>
                <c:pt idx="56">
                  <c:v>2338.7481109124124</c:v>
                </c:pt>
                <c:pt idx="57">
                  <c:v>2366.8011869691181</c:v>
                </c:pt>
                <c:pt idx="58">
                  <c:v>2395.1907574725437</c:v>
                </c:pt>
                <c:pt idx="59">
                  <c:v>2423.9208575108564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F-4647-8C5D-9EDCFFE17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858864"/>
        <c:axId val="600859344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'rendimentos mensais calculos'!$AA$1</c15:sqref>
                        </c15:formulaRef>
                      </c:ext>
                    </c:extLst>
                    <c:strCache>
                      <c:ptCount val="1"/>
                      <c:pt idx="0">
                        <c:v> Receita Bruta 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'rendimentos mensais calculos'!$W$2:$W$61</c15:sqref>
                        </c15:formulaRef>
                      </c:ext>
                    </c:extLst>
                    <c:numCache>
                      <c:formatCode>mmm\-yy</c:formatCode>
                      <c:ptCount val="60"/>
                      <c:pt idx="0">
                        <c:v>46143</c:v>
                      </c:pt>
                      <c:pt idx="1">
                        <c:v>46174</c:v>
                      </c:pt>
                      <c:pt idx="2">
                        <c:v>46204</c:v>
                      </c:pt>
                      <c:pt idx="3">
                        <c:v>46235</c:v>
                      </c:pt>
                      <c:pt idx="4">
                        <c:v>46266</c:v>
                      </c:pt>
                      <c:pt idx="5">
                        <c:v>46296</c:v>
                      </c:pt>
                      <c:pt idx="6">
                        <c:v>46327</c:v>
                      </c:pt>
                      <c:pt idx="7">
                        <c:v>46357</c:v>
                      </c:pt>
                      <c:pt idx="8">
                        <c:v>46388</c:v>
                      </c:pt>
                      <c:pt idx="9">
                        <c:v>46419</c:v>
                      </c:pt>
                      <c:pt idx="10">
                        <c:v>46447</c:v>
                      </c:pt>
                      <c:pt idx="11">
                        <c:v>46478</c:v>
                      </c:pt>
                      <c:pt idx="12">
                        <c:v>46508</c:v>
                      </c:pt>
                      <c:pt idx="13">
                        <c:v>46539</c:v>
                      </c:pt>
                      <c:pt idx="14">
                        <c:v>46569</c:v>
                      </c:pt>
                      <c:pt idx="15">
                        <c:v>46600</c:v>
                      </c:pt>
                      <c:pt idx="16">
                        <c:v>46631</c:v>
                      </c:pt>
                      <c:pt idx="17">
                        <c:v>46661</c:v>
                      </c:pt>
                      <c:pt idx="18">
                        <c:v>46692</c:v>
                      </c:pt>
                      <c:pt idx="19">
                        <c:v>46722</c:v>
                      </c:pt>
                      <c:pt idx="20">
                        <c:v>46753</c:v>
                      </c:pt>
                      <c:pt idx="21">
                        <c:v>46784</c:v>
                      </c:pt>
                      <c:pt idx="22">
                        <c:v>46813</c:v>
                      </c:pt>
                      <c:pt idx="23">
                        <c:v>46844</c:v>
                      </c:pt>
                      <c:pt idx="24">
                        <c:v>46874</c:v>
                      </c:pt>
                      <c:pt idx="25">
                        <c:v>46905</c:v>
                      </c:pt>
                      <c:pt idx="26">
                        <c:v>46935</c:v>
                      </c:pt>
                      <c:pt idx="27">
                        <c:v>46966</c:v>
                      </c:pt>
                      <c:pt idx="28">
                        <c:v>46997</c:v>
                      </c:pt>
                      <c:pt idx="29">
                        <c:v>47027</c:v>
                      </c:pt>
                      <c:pt idx="30">
                        <c:v>47058</c:v>
                      </c:pt>
                      <c:pt idx="31">
                        <c:v>47088</c:v>
                      </c:pt>
                      <c:pt idx="32">
                        <c:v>47119</c:v>
                      </c:pt>
                      <c:pt idx="33">
                        <c:v>47150</c:v>
                      </c:pt>
                      <c:pt idx="34">
                        <c:v>47178</c:v>
                      </c:pt>
                      <c:pt idx="35">
                        <c:v>47209</c:v>
                      </c:pt>
                      <c:pt idx="36">
                        <c:v>47239</c:v>
                      </c:pt>
                      <c:pt idx="37">
                        <c:v>47270</c:v>
                      </c:pt>
                      <c:pt idx="38">
                        <c:v>47300</c:v>
                      </c:pt>
                      <c:pt idx="39">
                        <c:v>47331</c:v>
                      </c:pt>
                      <c:pt idx="40">
                        <c:v>47362</c:v>
                      </c:pt>
                      <c:pt idx="41">
                        <c:v>47392</c:v>
                      </c:pt>
                      <c:pt idx="42">
                        <c:v>47423</c:v>
                      </c:pt>
                      <c:pt idx="43">
                        <c:v>47453</c:v>
                      </c:pt>
                      <c:pt idx="44">
                        <c:v>47484</c:v>
                      </c:pt>
                      <c:pt idx="45">
                        <c:v>47515</c:v>
                      </c:pt>
                      <c:pt idx="46">
                        <c:v>47543</c:v>
                      </c:pt>
                      <c:pt idx="47">
                        <c:v>47574</c:v>
                      </c:pt>
                      <c:pt idx="48">
                        <c:v>47604</c:v>
                      </c:pt>
                      <c:pt idx="49">
                        <c:v>47635</c:v>
                      </c:pt>
                      <c:pt idx="50">
                        <c:v>47665</c:v>
                      </c:pt>
                      <c:pt idx="51">
                        <c:v>47696</c:v>
                      </c:pt>
                      <c:pt idx="52">
                        <c:v>47727</c:v>
                      </c:pt>
                      <c:pt idx="53">
                        <c:v>47757</c:v>
                      </c:pt>
                      <c:pt idx="54">
                        <c:v>47788</c:v>
                      </c:pt>
                      <c:pt idx="55">
                        <c:v>47818</c:v>
                      </c:pt>
                      <c:pt idx="56">
                        <c:v>47849</c:v>
                      </c:pt>
                      <c:pt idx="57">
                        <c:v>47880</c:v>
                      </c:pt>
                      <c:pt idx="58">
                        <c:v>47908</c:v>
                      </c:pt>
                      <c:pt idx="59">
                        <c:v>47939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'rendimentos mensais calculos'!$AA$2:$AA$61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60"/>
                      <c:pt idx="0">
                        <c:v>1199.4911318882862</c:v>
                      </c:pt>
                      <c:pt idx="1">
                        <c:v>1213.8789212605755</c:v>
                      </c:pt>
                      <c:pt idx="2">
                        <c:v>1228.4392922174295</c:v>
                      </c:pt>
                      <c:pt idx="3">
                        <c:v>1243.174311482069</c:v>
                      </c:pt>
                      <c:pt idx="4">
                        <c:v>1258.0860781639744</c:v>
                      </c:pt>
                      <c:pt idx="5">
                        <c:v>1273.1767081655023</c:v>
                      </c:pt>
                      <c:pt idx="6">
                        <c:v>1288.4483497752706</c:v>
                      </c:pt>
                      <c:pt idx="7">
                        <c:v>1303.9031740722269</c:v>
                      </c:pt>
                      <c:pt idx="8">
                        <c:v>1319.5433773246345</c:v>
                      </c:pt>
                      <c:pt idx="9">
                        <c:v>1335.3711821895606</c:v>
                      </c:pt>
                      <c:pt idx="10">
                        <c:v>1351.3888413113507</c:v>
                      </c:pt>
                      <c:pt idx="11">
                        <c:v>1367.5986313241735</c:v>
                      </c:pt>
                      <c:pt idx="12">
                        <c:v>1384.0028552510018</c:v>
                      </c:pt>
                      <c:pt idx="13">
                        <c:v>1400.6038473015785</c:v>
                      </c:pt>
                      <c:pt idx="14">
                        <c:v>1417.403965675469</c:v>
                      </c:pt>
                      <c:pt idx="15">
                        <c:v>1434.4056009584986</c:v>
                      </c:pt>
                      <c:pt idx="16">
                        <c:v>1451.6111689258075</c:v>
                      </c:pt>
                      <c:pt idx="17">
                        <c:v>1469.0231153398138</c:v>
                      </c:pt>
                      <c:pt idx="18">
                        <c:v>1486.6439183491952</c:v>
                      </c:pt>
                      <c:pt idx="19">
                        <c:v>1504.4760800924532</c:v>
                      </c:pt>
                      <c:pt idx="20">
                        <c:v>1522.5221374933321</c:v>
                      </c:pt>
                      <c:pt idx="21">
                        <c:v>1540.7846550638715</c:v>
                      </c:pt>
                      <c:pt idx="22">
                        <c:v>1559.2662297023717</c:v>
                      </c:pt>
                      <c:pt idx="23">
                        <c:v>1577.9694906933942</c:v>
                      </c:pt>
                      <c:pt idx="24">
                        <c:v>1596.8970949097961</c:v>
                      </c:pt>
                      <c:pt idx="25">
                        <c:v>1616.0517340096774</c:v>
                      </c:pt>
                      <c:pt idx="26">
                        <c:v>1635.4361308379075</c:v>
                      </c:pt>
                      <c:pt idx="27">
                        <c:v>1655.0530418251071</c:v>
                      </c:pt>
                      <c:pt idx="28">
                        <c:v>1674.9052569876492</c:v>
                      </c:pt>
                      <c:pt idx="29">
                        <c:v>1694.995596329185</c:v>
                      </c:pt>
                      <c:pt idx="30">
                        <c:v>1715.3269182370816</c:v>
                      </c:pt>
                      <c:pt idx="31">
                        <c:v>1735.9021122854761</c:v>
                      </c:pt>
                      <c:pt idx="32">
                        <c:v>1756.7241040332385</c:v>
                      </c:pt>
                      <c:pt idx="33">
                        <c:v>1777.7958550239739</c:v>
                      </c:pt>
                      <c:pt idx="34">
                        <c:v>1799.1203579880562</c:v>
                      </c:pt>
                      <c:pt idx="35">
                        <c:v>1820.7006476380491</c:v>
                      </c:pt>
                      <c:pt idx="36">
                        <c:v>1842.5397898732861</c:v>
                      </c:pt>
                      <c:pt idx="37">
                        <c:v>1864.6408913757982</c:v>
                      </c:pt>
                      <c:pt idx="38">
                        <c:v>1887.0070936128602</c:v>
                      </c:pt>
                      <c:pt idx="39">
                        <c:v>1909.6415764354626</c:v>
                      </c:pt>
                      <c:pt idx="40">
                        <c:v>1932.547558078312</c:v>
                      </c:pt>
                      <c:pt idx="41">
                        <c:v>1955.7282939603408</c:v>
                      </c:pt>
                      <c:pt idx="42">
                        <c:v>1979.1870814826702</c:v>
                      </c:pt>
                      <c:pt idx="43">
                        <c:v>2002.9272552306475</c:v>
                      </c:pt>
                      <c:pt idx="44">
                        <c:v>2026.952190572317</c:v>
                      </c:pt>
                      <c:pt idx="45">
                        <c:v>2051.2653012594401</c:v>
                      </c:pt>
                      <c:pt idx="46">
                        <c:v>2075.8700466244418</c:v>
                      </c:pt>
                      <c:pt idx="47">
                        <c:v>2100.7699243834622</c:v>
                      </c:pt>
                      <c:pt idx="48">
                        <c:v>2125.9684730353406</c:v>
                      </c:pt>
                      <c:pt idx="49">
                        <c:v>2151.4692766595795</c:v>
                      </c:pt>
                      <c:pt idx="50">
                        <c:v>2177.2759601183784</c:v>
                      </c:pt>
                      <c:pt idx="51">
                        <c:v>2203.392191455619</c:v>
                      </c:pt>
                      <c:pt idx="52">
                        <c:v>2229.8216854953375</c:v>
                      </c:pt>
                      <c:pt idx="53">
                        <c:v>2256.5681990437579</c:v>
                      </c:pt>
                      <c:pt idx="54">
                        <c:v>2283.6355344877688</c:v>
                      </c:pt>
                      <c:pt idx="55">
                        <c:v>2311.0275397949217</c:v>
                      </c:pt>
                      <c:pt idx="56">
                        <c:v>2338.7481109124124</c:v>
                      </c:pt>
                      <c:pt idx="57">
                        <c:v>2366.8011869691181</c:v>
                      </c:pt>
                      <c:pt idx="58">
                        <c:v>2395.1907574725437</c:v>
                      </c:pt>
                      <c:pt idx="59">
                        <c:v>2423.9208575108564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52F-4647-8C5D-9EDCFFE170A0}"/>
                  </c:ext>
                </c:extLst>
              </c15:ser>
            </c15:filteredLineSeries>
          </c:ext>
        </c:extLst>
      </c:lineChart>
      <c:dateAx>
        <c:axId val="600858864"/>
        <c:scaling>
          <c:orientation val="minMax"/>
          <c:max val="47969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9344"/>
        <c:crosses val="autoZero"/>
        <c:auto val="1"/>
        <c:lblOffset val="100"/>
        <c:baseTimeUnit val="months"/>
        <c:majorUnit val="3"/>
        <c:majorTimeUnit val="months"/>
      </c:dateAx>
      <c:valAx>
        <c:axId val="6008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85886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Fluxo de Caixa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'rendimentos mensais calculos'!$X$64</c:f>
              <c:strCache>
                <c:ptCount val="1"/>
                <c:pt idx="0">
                  <c:v> Receita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'rendimentos mensais calculos'!$W$65:$W$70</c:f>
              <c:numCache>
                <c:formatCode>0</c:formatCode>
                <c:ptCount val="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'rendimentos mensais calculos'!$X$65:$X$70</c:f>
              <c:numCache>
                <c:formatCode>_("R$"* #,##0.00_);_("R$"* \(#,##0.00\);_("R$"* "-"??_);_(@_)</c:formatCode>
                <c:ptCount val="6"/>
                <c:pt idx="0">
                  <c:v>10008.597967025336</c:v>
                </c:pt>
                <c:pt idx="1">
                  <c:v>16922.072584043537</c:v>
                </c:pt>
                <c:pt idx="2">
                  <c:v>19525.110398374851</c:v>
                </c:pt>
                <c:pt idx="3">
                  <c:v>22528.56050473269</c:v>
                </c:pt>
                <c:pt idx="4">
                  <c:v>25994.016322930369</c:v>
                </c:pt>
                <c:pt idx="5">
                  <c:v>9524.6609128649307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B-4670-B8C3-06F79EDCD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528063"/>
        <c:axId val="1316525663"/>
      </c:barChart>
      <c:catAx>
        <c:axId val="131652806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525663"/>
        <c:crosses val="autoZero"/>
        <c:auto val="1"/>
        <c:lblAlgn val="ctr"/>
        <c:lblOffset val="100"/>
        <c:noMultiLvlLbl val="0"/>
      </c:catAx>
      <c:valAx>
        <c:axId val="131652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528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Custos</a:t>
            </a:r>
            <a:r>
              <a:rPr lang="pt-BR" baseline="0"/>
              <a:t> com IRPF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B7-4EA9-9CC1-A92FE3F2AA56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B7-4EA9-9CC1-A92FE3F2AA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('rendimentos mensais calculos'!$W$73,'rendimentos mensais calculos'!$Y$73)</c:f>
              <c:strCache>
                <c:ptCount val="2"/>
                <c:pt idx="0">
                  <c:v>irpf</c:v>
                </c:pt>
                <c:pt idx="1">
                  <c:v> Receita liquida </c:v>
                </c:pt>
              </c:strCache>
            </c:strRef>
          </c:cat>
          <c:val>
            <c:numRef>
              <c:f>('rendimentos mensais calculos'!$W$74,'rendimentos mensais calculos'!$Y$74)</c:f>
              <c:numCache>
                <c:formatCode>_("R$"* #,##0.00_);_("R$"* \(#,##0.00\);_("R$"* "-"??_);_(@_)</c:formatCode>
                <c:ptCount val="2"/>
                <c:pt idx="0">
                  <c:v>15675.452803495755</c:v>
                </c:pt>
                <c:pt idx="1">
                  <c:v>88827.565886475961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B7-4EA9-9CC1-A92FE3F2A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55984</xdr:rowOff>
    </xdr:from>
    <xdr:to>
      <xdr:col>15</xdr:col>
      <xdr:colOff>478972</xdr:colOff>
      <xdr:row>16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CDF8B6-328C-46F1-9ED9-5706D1998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19</xdr:row>
      <xdr:rowOff>0</xdr:rowOff>
    </xdr:from>
    <xdr:to>
      <xdr:col>12</xdr:col>
      <xdr:colOff>304800</xdr:colOff>
      <xdr:row>33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927D06-0E89-467F-9154-338E3D490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1057275</xdr:colOff>
      <xdr:row>12</xdr:row>
      <xdr:rowOff>109537</xdr:rowOff>
    </xdr:from>
    <xdr:to>
      <xdr:col>5</xdr:col>
      <xdr:colOff>952500</xdr:colOff>
      <xdr:row>26</xdr:row>
      <xdr:rowOff>185737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14188C8-5151-BB73-6C0F-5F747B664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0</xdr:rowOff>
    </xdr:from>
    <xdr:to>
      <xdr:col>15</xdr:col>
      <xdr:colOff>104775</xdr:colOff>
      <xdr:row>50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E79916-0766-47C4-9A9A-A66C9A5A6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104775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8EEA7E-3689-41B2-A382-68ECF7B81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14</xdr:row>
      <xdr:rowOff>0</xdr:rowOff>
    </xdr:from>
    <xdr:to>
      <xdr:col>23</xdr:col>
      <xdr:colOff>294966</xdr:colOff>
      <xdr:row>28</xdr:row>
      <xdr:rowOff>21771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01E5CF8-C51E-4160-8932-8B5347636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15</xdr:col>
      <xdr:colOff>304800</xdr:colOff>
      <xdr:row>33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34D15C-5DDF-482C-B9DC-F2E1A61E84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2A9E89-E6B8-4E9F-87BE-DF0CA5C93B54}" name="indices" displayName="indices" ref="A1:B9" totalsRowShown="0">
  <autoFilter ref="A1:B9" xr:uid="{392A9E89-E6B8-4E9F-87BE-DF0CA5C93B54}"/>
  <tableColumns count="2">
    <tableColumn id="1" xr3:uid="{55650320-7733-4002-AB75-789970FBD0CF}" name="Indice"/>
    <tableColumn id="2" xr3:uid="{12C8334F-7CF3-4D30-A051-FD108110456D}" name="Valor" dataDxfId="26" dataCellStyle="Porcentag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11C488-8FB6-4567-8498-3B95C46D02CB}" name="Tabela2" displayName="Tabela2" ref="D1:D2" totalsRowShown="0">
  <autoFilter ref="D1:D2" xr:uid="{FC11C488-8FB6-4567-8498-3B95C46D02CB}"/>
  <tableColumns count="1">
    <tableColumn id="1" xr3:uid="{DF152FFF-6287-48B1-85F1-5868858FF4A0}" name="Inici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8193AE-55DB-42BE-9FE5-0C91E56B326F}" name="aluguel" displayName="aluguel" ref="I1:U61" totalsRowShown="0" headerRowDxfId="10" tableBorderDxfId="24">
  <autoFilter ref="I1:U61" xr:uid="{4B8193AE-55DB-42BE-9FE5-0C91E56B326F}"/>
  <tableColumns count="13">
    <tableColumn id="1" xr3:uid="{A7344344-6326-487B-BF28-B77B5E02ECD4}" name="Periodo" dataDxfId="23"/>
    <tableColumn id="2" xr3:uid="{870ADFAD-9FA7-4463-BEF0-4F2F002445A9}" name="Ano" dataDxfId="22"/>
    <tableColumn id="3" xr3:uid="{52787825-510D-4124-833C-08F53D7D6F4B}" name="Aplicacao" dataDxfId="21"/>
    <tableColumn id="4" xr3:uid="{CA13BF9A-FD3E-4173-8809-637280A3F7AA}" name="valor do imóvel" dataDxfId="20">
      <calculatedColumnFormula array="1">atualizar_imovel($L$2,$I$2,I2,IPCA)</calculatedColumnFormula>
    </tableColumn>
    <tableColumn id="5" xr3:uid="{F60A473A-C42F-4C92-A75A-5E2AF7FFD388}" name="reajustes" dataDxfId="19"/>
    <tableColumn id="6" xr3:uid="{24C8CF54-EB50-480D-B0CD-F318D989DC17}" name="receita acumulada" dataDxfId="18">
      <calculatedColumnFormula>N1+O1</calculatedColumnFormula>
    </tableColumn>
    <tableColumn id="7" xr3:uid="{9EBDBBB4-5451-4F8B-B8EA-8F4DF3B26BEB}" name="Receita do periodo" dataDxfId="17">
      <calculatedColumnFormula array="1">atualizar_aluguel($O$2,$I$2,I2,IGPM)</calculatedColumnFormula>
    </tableColumn>
    <tableColumn id="8" xr3:uid="{82F78EB0-4F5C-4B31-B12E-0357498427FD}" name="receita Liquida acumulada" dataDxfId="16">
      <calculatedColumnFormula>P1+U1</calculatedColumnFormula>
    </tableColumn>
    <tableColumn id="9" xr3:uid="{E7AF5D5B-72F3-4C25-882D-B360DBF2DB10}" name="Margem %" dataDxfId="15" dataCellStyle="Porcentagem">
      <calculatedColumnFormula>U2/O2</calculatedColumnFormula>
    </tableColumn>
    <tableColumn id="10" xr3:uid="{4D879DEB-C225-4648-A6F7-2B10A60993D8}" name="IRPF" dataDxfId="14">
      <calculatedColumnFormula>O2*0.275</calculatedColumnFormula>
    </tableColumn>
    <tableColumn id="11" xr3:uid="{96E30348-EBF7-430E-97BB-F1A7ECD79282}" name="Imobiliária" dataDxfId="13">
      <calculatedColumnFormula>O2*0.1</calculatedColumnFormula>
    </tableColumn>
    <tableColumn id="12" xr3:uid="{32F06E66-3DC9-46DD-8FFD-69284EB19431}" name="Custos Totais" dataDxfId="12">
      <calculatedColumnFormula>S2+R2</calculatedColumnFormula>
    </tableColumn>
    <tableColumn id="13" xr3:uid="{E6156842-FA8A-4B87-8ED0-D58EA1238F9C}" name="Resultado Líquido" dataDxfId="11">
      <calculatedColumnFormula>O2-R2-S2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028C16-4921-46FB-8E59-7DB01630149F}" name="CDB_T" displayName="CDB_T" ref="W1:AD61" totalsRowShown="0" headerRowDxfId="0" tableBorderDxfId="9">
  <autoFilter ref="W1:AD61" xr:uid="{7E028C16-4921-46FB-8E59-7DB01630149F}"/>
  <tableColumns count="8">
    <tableColumn id="1" xr3:uid="{6459A977-9CAF-4586-84A7-CEFA2EC1A07B}" name="Periodo" dataDxfId="8"/>
    <tableColumn id="2" xr3:uid="{97F0AD87-7537-4364-A349-4E9AF5954940}" name="ano" dataDxfId="7"/>
    <tableColumn id="3" xr3:uid="{AB5D5888-5842-4438-AA5A-AF03D2070913}" name="Aplicacao" dataDxfId="6"/>
    <tableColumn id="4" xr3:uid="{CFCFBA05-C9D3-4ABE-9D55-59F8724A38E1}" name="Valor Aplicado" dataDxfId="5">
      <calculatedColumnFormula>Z1+AA1</calculatedColumnFormula>
    </tableColumn>
    <tableColumn id="5" xr3:uid="{F546B48C-618B-4AB6-8003-053C254EF998}" name="Receita Bruta" dataDxfId="4">
      <calculatedColumnFormula array="1">rendimento_cdb(Z2,CDI,CDB)</calculatedColumnFormula>
    </tableColumn>
    <tableColumn id="6" xr3:uid="{6E269712-A334-45DB-9279-3AD7C49C0BBB}" name="IRPF" dataDxfId="3">
      <calculatedColumnFormula array="1">irpf_regressiva(AA2,0.15)</calculatedColumnFormula>
    </tableColumn>
    <tableColumn id="7" xr3:uid="{3789AF35-36F1-4660-BFB4-972561FC79D0}" name="Custos" dataDxfId="2"/>
    <tableColumn id="8" xr3:uid="{CCDF914C-E9DC-4104-9075-A20A549086F9}" name="Resultado Líquido" dataDxfId="1">
      <calculatedColumnFormula>AA2-AB2-AC2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9"/>
  <sheetViews>
    <sheetView workbookViewId="0">
      <selection activeCell="D15" sqref="D15"/>
    </sheetView>
  </sheetViews>
  <sheetFormatPr defaultRowHeight="15" x14ac:dyDescent="0.25"/>
  <cols>
    <col min="1" max="1" width="24.7109375" bestFit="1" customWidth="1"/>
    <col min="5" max="5" width="10.7109375" bestFit="1" customWidth="1"/>
    <col min="7" max="7" width="10.7109375" customWidth="1"/>
  </cols>
  <sheetData>
    <row r="1" spans="1:6" x14ac:dyDescent="0.25">
      <c r="A1" t="s">
        <v>0</v>
      </c>
      <c r="B1" t="s">
        <v>1</v>
      </c>
      <c r="D1" t="s">
        <v>11</v>
      </c>
    </row>
    <row r="2" spans="1:6" x14ac:dyDescent="0.25">
      <c r="A2" t="s">
        <v>2</v>
      </c>
      <c r="B2" s="1">
        <v>0.14749999999999999</v>
      </c>
      <c r="D2" s="2">
        <v>46143</v>
      </c>
    </row>
    <row r="3" spans="1:6" x14ac:dyDescent="0.25">
      <c r="A3" t="s">
        <v>3</v>
      </c>
      <c r="B3" s="1">
        <v>2.0299999999999999E-2</v>
      </c>
      <c r="F3" s="3"/>
    </row>
    <row r="4" spans="1:6" x14ac:dyDescent="0.25">
      <c r="A4" t="s">
        <v>9</v>
      </c>
      <c r="B4" s="1">
        <v>0.14649999999999999</v>
      </c>
      <c r="F4" s="4"/>
    </row>
    <row r="5" spans="1:6" x14ac:dyDescent="0.25">
      <c r="A5" t="s">
        <v>4</v>
      </c>
      <c r="B5" s="1">
        <v>3.6400000000000002E-2</v>
      </c>
      <c r="D5" s="2">
        <v>47484</v>
      </c>
      <c r="F5" s="3"/>
    </row>
    <row r="6" spans="1:6" x14ac:dyDescent="0.25">
      <c r="A6" t="s">
        <v>5</v>
      </c>
      <c r="B6" s="1">
        <v>4.1000000000000002E-2</v>
      </c>
      <c r="E6" s="17"/>
      <c r="F6" s="3"/>
    </row>
    <row r="7" spans="1:6" x14ac:dyDescent="0.25">
      <c r="A7" t="s">
        <v>8</v>
      </c>
      <c r="B7" s="1">
        <v>1.05</v>
      </c>
    </row>
    <row r="8" spans="1:6" x14ac:dyDescent="0.25">
      <c r="A8" t="s">
        <v>7</v>
      </c>
      <c r="B8" s="1">
        <v>0.1</v>
      </c>
    </row>
    <row r="9" spans="1:6" x14ac:dyDescent="0.25">
      <c r="A9" t="s">
        <v>10</v>
      </c>
      <c r="B9" s="1">
        <v>4.1000000000000002E-2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D6B0-313E-41CB-9479-DFFC8829474D}">
  <sheetPr codeName="Planilha2"/>
  <dimension ref="A1:AG74"/>
  <sheetViews>
    <sheetView tabSelected="1" topLeftCell="Q1" zoomScale="85" zoomScaleNormal="85" workbookViewId="0">
      <selection activeCell="AA1" sqref="AA1"/>
    </sheetView>
  </sheetViews>
  <sheetFormatPr defaultRowHeight="15" x14ac:dyDescent="0.25"/>
  <cols>
    <col min="1" max="3" width="11.5703125" customWidth="1"/>
    <col min="4" max="4" width="14" style="16" bestFit="1" customWidth="1"/>
    <col min="5" max="5" width="17.5703125" style="16" bestFit="1" customWidth="1"/>
    <col min="6" max="6" width="10.140625" style="16" bestFit="1" customWidth="1"/>
    <col min="7" max="7" width="19" style="16" customWidth="1"/>
    <col min="9" max="9" width="9.85546875" customWidth="1"/>
    <col min="10" max="10" width="12.7109375" bestFit="1" customWidth="1"/>
    <col min="11" max="11" width="14.140625" bestFit="1" customWidth="1"/>
    <col min="12" max="12" width="17.5703125" customWidth="1"/>
    <col min="13" max="13" width="16.28515625" customWidth="1"/>
    <col min="14" max="14" width="20.140625" customWidth="1"/>
    <col min="15" max="15" width="20.7109375" customWidth="1"/>
    <col min="16" max="16" width="26.85546875" customWidth="1"/>
    <col min="17" max="17" width="14.28515625" style="19" customWidth="1"/>
    <col min="18" max="18" width="10.140625" bestFit="1" customWidth="1"/>
    <col min="19" max="19" width="13.42578125" customWidth="1"/>
    <col min="20" max="20" width="15.85546875" customWidth="1"/>
    <col min="21" max="21" width="20" customWidth="1"/>
    <col min="23" max="23" width="12.7109375" bestFit="1" customWidth="1"/>
    <col min="24" max="24" width="14" style="26" bestFit="1" customWidth="1"/>
    <col min="25" max="25" width="15.42578125" bestFit="1" customWidth="1"/>
    <col min="26" max="26" width="16.7109375" customWidth="1"/>
    <col min="27" max="27" width="15.85546875" customWidth="1"/>
    <col min="28" max="29" width="12.7109375" bestFit="1" customWidth="1"/>
    <col min="30" max="30" width="20" customWidth="1"/>
  </cols>
  <sheetData>
    <row r="1" spans="1:33" x14ac:dyDescent="0.25">
      <c r="A1" s="5" t="s">
        <v>16</v>
      </c>
      <c r="B1" s="6" t="s">
        <v>30</v>
      </c>
      <c r="C1" s="6" t="s">
        <v>15</v>
      </c>
      <c r="D1" s="11" t="s">
        <v>20</v>
      </c>
      <c r="E1" s="11" t="s">
        <v>14</v>
      </c>
      <c r="F1" s="11" t="s">
        <v>12</v>
      </c>
      <c r="G1" s="12" t="s">
        <v>13</v>
      </c>
      <c r="I1" s="23" t="s">
        <v>16</v>
      </c>
      <c r="J1" s="23" t="s">
        <v>30</v>
      </c>
      <c r="K1" s="23" t="s">
        <v>15</v>
      </c>
      <c r="L1" s="24" t="s">
        <v>21</v>
      </c>
      <c r="M1" s="24" t="s">
        <v>24</v>
      </c>
      <c r="N1" s="24" t="s">
        <v>27</v>
      </c>
      <c r="O1" s="24" t="s">
        <v>22</v>
      </c>
      <c r="P1" s="24" t="s">
        <v>23</v>
      </c>
      <c r="Q1" s="25" t="s">
        <v>26</v>
      </c>
      <c r="R1" s="24" t="s">
        <v>18</v>
      </c>
      <c r="S1" s="24" t="s">
        <v>25</v>
      </c>
      <c r="T1" s="24" t="s">
        <v>28</v>
      </c>
      <c r="U1" s="24" t="s">
        <v>13</v>
      </c>
      <c r="W1" s="23" t="s">
        <v>16</v>
      </c>
      <c r="X1" s="27" t="s">
        <v>29</v>
      </c>
      <c r="Y1" s="23" t="s">
        <v>15</v>
      </c>
      <c r="Z1" s="24" t="s">
        <v>20</v>
      </c>
      <c r="AA1" s="24" t="s">
        <v>14</v>
      </c>
      <c r="AB1" s="24" t="s">
        <v>18</v>
      </c>
      <c r="AC1" s="24" t="s">
        <v>12</v>
      </c>
      <c r="AD1" s="24" t="s">
        <v>13</v>
      </c>
      <c r="AF1" s="5" t="s">
        <v>16</v>
      </c>
      <c r="AG1" s="6" t="s">
        <v>30</v>
      </c>
    </row>
    <row r="2" spans="1:33" x14ac:dyDescent="0.25">
      <c r="A2" s="7">
        <v>46143</v>
      </c>
      <c r="B2" s="22">
        <v>2026</v>
      </c>
      <c r="C2" s="8" t="s">
        <v>19</v>
      </c>
      <c r="D2" s="13">
        <v>100000</v>
      </c>
      <c r="E2" s="13" cm="1">
        <f t="array" ref="E2">rendimento_poupanca(D2,selic,TR)</f>
        <v>667.61282769228728</v>
      </c>
      <c r="F2" s="13">
        <v>0</v>
      </c>
      <c r="G2" s="14">
        <f>E2-F2</f>
        <v>667.61282769228728</v>
      </c>
      <c r="I2" s="20">
        <v>46143</v>
      </c>
      <c r="J2" s="22">
        <v>2026</v>
      </c>
      <c r="K2" s="8" t="s">
        <v>17</v>
      </c>
      <c r="L2" s="13">
        <v>100000</v>
      </c>
      <c r="M2" s="13">
        <f>O2</f>
        <v>750</v>
      </c>
      <c r="N2" s="13">
        <v>0</v>
      </c>
      <c r="O2" s="13">
        <v>750</v>
      </c>
      <c r="P2" s="13">
        <v>0</v>
      </c>
      <c r="Q2" s="18">
        <f>U2/O2</f>
        <v>0.625</v>
      </c>
      <c r="R2" s="13">
        <f>O2*0.275</f>
        <v>206.25000000000003</v>
      </c>
      <c r="S2" s="13">
        <f>O2*0.1</f>
        <v>75</v>
      </c>
      <c r="T2" s="13">
        <f>S2+R2</f>
        <v>281.25</v>
      </c>
      <c r="U2" s="13">
        <f>O2-R2-S2</f>
        <v>468.75</v>
      </c>
      <c r="W2" s="20">
        <v>46143</v>
      </c>
      <c r="X2" s="22">
        <v>2026</v>
      </c>
      <c r="Y2" s="8" t="s">
        <v>6</v>
      </c>
      <c r="Z2" s="13">
        <v>100000</v>
      </c>
      <c r="AA2" s="13" cm="1">
        <f t="array" ref="AA2">rendimento_cdb(Z2,CDI,CDB)</f>
        <v>1199.4911318882862</v>
      </c>
      <c r="AB2" s="13" cm="1">
        <f t="array" ref="AB2">irpf_regressiva(AA2,0.15)</f>
        <v>179.923665</v>
      </c>
      <c r="AC2" s="13">
        <v>0</v>
      </c>
      <c r="AD2" s="13">
        <f>AA2-AB2-AC2</f>
        <v>1019.5674668882862</v>
      </c>
      <c r="AF2" s="7">
        <v>46143</v>
      </c>
      <c r="AG2" s="22">
        <v>2026</v>
      </c>
    </row>
    <row r="3" spans="1:33" x14ac:dyDescent="0.25">
      <c r="A3" s="9">
        <v>46174</v>
      </c>
      <c r="B3" s="22">
        <v>2026</v>
      </c>
      <c r="C3" s="10" t="s">
        <v>19</v>
      </c>
      <c r="D3" s="15">
        <f>D2+E2</f>
        <v>100667.61282769228</v>
      </c>
      <c r="E3" s="13" cm="1">
        <f t="array" ref="E3">rendimento_poupanca(D3,selic,TR)</f>
        <v>672.06989638440291</v>
      </c>
      <c r="F3" s="15">
        <v>0</v>
      </c>
      <c r="G3" s="14">
        <f t="shared" ref="G3:G61" si="0">E3-F3</f>
        <v>672.06989638440291</v>
      </c>
      <c r="I3" s="21">
        <v>46174</v>
      </c>
      <c r="J3" s="22">
        <v>2026</v>
      </c>
      <c r="K3" s="10" t="s">
        <v>17</v>
      </c>
      <c r="L3" s="15" cm="1">
        <f t="array" ref="L3">atualizar_imovel($L$2,$I$2,I3,IPCA)</f>
        <v>100000</v>
      </c>
      <c r="M3" s="15"/>
      <c r="N3" s="15">
        <f>O2</f>
        <v>750</v>
      </c>
      <c r="O3" s="15" cm="1">
        <f t="array" ref="O3">atualizar_aluguel($O$2,$I$2,I3,IGPM)</f>
        <v>750</v>
      </c>
      <c r="P3" s="15">
        <f>P2+U2</f>
        <v>468.75</v>
      </c>
      <c r="Q3" s="18">
        <f t="shared" ref="Q3:Q61" si="1">U3/O3</f>
        <v>0.625</v>
      </c>
      <c r="R3" s="15">
        <f t="shared" ref="R3:R61" si="2">O3*0.275</f>
        <v>206.25000000000003</v>
      </c>
      <c r="S3" s="15">
        <f>O3*0.1</f>
        <v>75</v>
      </c>
      <c r="T3" s="13">
        <f t="shared" ref="T3:T61" si="3">S3+R3</f>
        <v>281.25</v>
      </c>
      <c r="U3" s="15">
        <f>O3-R3-S3</f>
        <v>468.75</v>
      </c>
      <c r="W3" s="21">
        <v>46174</v>
      </c>
      <c r="X3" s="22">
        <v>2026</v>
      </c>
      <c r="Y3" s="10" t="s">
        <v>6</v>
      </c>
      <c r="Z3" s="15">
        <f>Z2+AA2</f>
        <v>101199.49113188828</v>
      </c>
      <c r="AA3" s="15" cm="1">
        <f t="array" ref="AA3">rendimento_cdb(Z3,CDI,CDB)</f>
        <v>1213.8789212605755</v>
      </c>
      <c r="AB3" s="15" cm="1">
        <f t="array" ref="AB3">irpf_regressiva(AA3,0.15)</f>
        <v>182.08183499999998</v>
      </c>
      <c r="AC3" s="15">
        <v>0</v>
      </c>
      <c r="AD3" s="15">
        <f t="shared" ref="AD3" si="4">AA3-AB3-AC3</f>
        <v>1031.7970862605755</v>
      </c>
      <c r="AF3" s="9">
        <v>46174</v>
      </c>
      <c r="AG3" s="22">
        <v>2026</v>
      </c>
    </row>
    <row r="4" spans="1:33" x14ac:dyDescent="0.25">
      <c r="A4" s="7">
        <v>46204</v>
      </c>
      <c r="B4" s="22">
        <v>2026</v>
      </c>
      <c r="C4" s="8" t="s">
        <v>19</v>
      </c>
      <c r="D4" s="13">
        <f t="shared" ref="D4:D61" si="5">D3+E3</f>
        <v>101339.68272407669</v>
      </c>
      <c r="E4" s="13" cm="1">
        <f t="array" ref="E4">rendimento_poupanca(D4,selic,TR)</f>
        <v>676.55672124786167</v>
      </c>
      <c r="F4" s="13">
        <v>0</v>
      </c>
      <c r="G4" s="14">
        <f t="shared" si="0"/>
        <v>676.55672124786167</v>
      </c>
      <c r="I4" s="20">
        <v>46204</v>
      </c>
      <c r="J4" s="22">
        <v>2026</v>
      </c>
      <c r="K4" s="8" t="s">
        <v>17</v>
      </c>
      <c r="L4" s="13" cm="1">
        <f t="array" ref="L4">atualizar_imovel($L$2,$I$2,I4,IPCA)</f>
        <v>100000</v>
      </c>
      <c r="M4" s="13"/>
      <c r="N4" s="13">
        <f>N3+O3</f>
        <v>1500</v>
      </c>
      <c r="O4" s="13" cm="1">
        <f t="array" ref="O4">atualizar_aluguel($O$2,$I$2,I4,IGPM)</f>
        <v>750</v>
      </c>
      <c r="P4" s="13">
        <f>P3+U3</f>
        <v>937.5</v>
      </c>
      <c r="Q4" s="18">
        <f t="shared" si="1"/>
        <v>0.625</v>
      </c>
      <c r="R4" s="13">
        <f t="shared" si="2"/>
        <v>206.25000000000003</v>
      </c>
      <c r="S4" s="13">
        <f>O4*0.1</f>
        <v>75</v>
      </c>
      <c r="T4" s="13">
        <f t="shared" si="3"/>
        <v>281.25</v>
      </c>
      <c r="U4" s="13">
        <f>O4-R4-S4</f>
        <v>468.75</v>
      </c>
      <c r="W4" s="20">
        <v>46204</v>
      </c>
      <c r="X4" s="22">
        <v>2026</v>
      </c>
      <c r="Y4" s="8" t="s">
        <v>6</v>
      </c>
      <c r="Z4" s="13">
        <f t="shared" ref="Z4:Z61" si="6">Z3+AA3</f>
        <v>102413.37005314886</v>
      </c>
      <c r="AA4" s="13" cm="1">
        <f t="array" ref="AA4">rendimento_cdb(Z4,CDI,CDB)</f>
        <v>1228.4392922174295</v>
      </c>
      <c r="AB4" s="13" cm="1">
        <f t="array" ref="AB4">irpf_regressiva(AA4,0.15)</f>
        <v>184.265895</v>
      </c>
      <c r="AC4" s="13">
        <v>0</v>
      </c>
      <c r="AD4" s="13">
        <f t="shared" ref="AD4:AD51" si="7">AA4-AB4-AC4</f>
        <v>1044.1733972174295</v>
      </c>
      <c r="AF4" s="7">
        <v>46204</v>
      </c>
      <c r="AG4" s="22">
        <v>2026</v>
      </c>
    </row>
    <row r="5" spans="1:33" x14ac:dyDescent="0.25">
      <c r="A5" s="9">
        <v>46235</v>
      </c>
      <c r="B5" s="22">
        <v>2026</v>
      </c>
      <c r="C5" s="10" t="s">
        <v>19</v>
      </c>
      <c r="D5" s="15">
        <f t="shared" si="5"/>
        <v>102016.23944532455</v>
      </c>
      <c r="E5" s="13" cm="1">
        <f t="array" ref="E5">rendimento_poupanca(D5,selic,TR)</f>
        <v>681.07350056367329</v>
      </c>
      <c r="F5" s="15">
        <v>0</v>
      </c>
      <c r="G5" s="14">
        <f t="shared" si="0"/>
        <v>681.07350056367329</v>
      </c>
      <c r="I5" s="21">
        <v>46235</v>
      </c>
      <c r="J5" s="22">
        <v>2026</v>
      </c>
      <c r="K5" s="10" t="s">
        <v>17</v>
      </c>
      <c r="L5" s="15" cm="1">
        <f t="array" ref="L5">atualizar_imovel($L$2,$I$2,I5,IPCA)</f>
        <v>100000</v>
      </c>
      <c r="M5" s="15"/>
      <c r="N5" s="15">
        <f t="shared" ref="N5:N61" si="8">N4+O4</f>
        <v>2250</v>
      </c>
      <c r="O5" s="15" cm="1">
        <f t="array" ref="O5">atualizar_aluguel($O$2,$I$2,I5,IGPM)</f>
        <v>750</v>
      </c>
      <c r="P5" s="15">
        <f>P4+U4</f>
        <v>1406.25</v>
      </c>
      <c r="Q5" s="18">
        <f t="shared" si="1"/>
        <v>0.625</v>
      </c>
      <c r="R5" s="15">
        <f t="shared" si="2"/>
        <v>206.25000000000003</v>
      </c>
      <c r="S5" s="15">
        <f>O5*0.1</f>
        <v>75</v>
      </c>
      <c r="T5" s="13">
        <f t="shared" si="3"/>
        <v>281.25</v>
      </c>
      <c r="U5" s="15">
        <f>O5-R5-S5</f>
        <v>468.75</v>
      </c>
      <c r="W5" s="21">
        <v>46235</v>
      </c>
      <c r="X5" s="22">
        <v>2026</v>
      </c>
      <c r="Y5" s="10" t="s">
        <v>6</v>
      </c>
      <c r="Z5" s="15">
        <f t="shared" si="6"/>
        <v>103641.80934536629</v>
      </c>
      <c r="AA5" s="15" cm="1">
        <f t="array" ref="AA5">rendimento_cdb(Z5,CDI,CDB)</f>
        <v>1243.174311482069</v>
      </c>
      <c r="AB5" s="15" cm="1">
        <f t="array" ref="AB5">irpf_regressiva(AA5,0.15)</f>
        <v>186.47614499999997</v>
      </c>
      <c r="AC5" s="15">
        <v>0</v>
      </c>
      <c r="AD5" s="15">
        <f t="shared" si="7"/>
        <v>1056.6981664820692</v>
      </c>
      <c r="AF5" s="9">
        <v>46235</v>
      </c>
      <c r="AG5" s="22">
        <v>2026</v>
      </c>
    </row>
    <row r="6" spans="1:33" x14ac:dyDescent="0.25">
      <c r="A6" s="7">
        <v>46266</v>
      </c>
      <c r="B6" s="22">
        <v>2026</v>
      </c>
      <c r="C6" s="8" t="s">
        <v>19</v>
      </c>
      <c r="D6" s="13">
        <f t="shared" si="5"/>
        <v>102697.31294588822</v>
      </c>
      <c r="E6" s="13" cm="1">
        <f t="array" ref="E6">rendimento_poupanca(D6,selic,TR)</f>
        <v>685.62043461568612</v>
      </c>
      <c r="F6" s="13">
        <v>0</v>
      </c>
      <c r="G6" s="14">
        <f t="shared" si="0"/>
        <v>685.62043461568612</v>
      </c>
      <c r="I6" s="20">
        <v>46266</v>
      </c>
      <c r="J6" s="22">
        <v>2026</v>
      </c>
      <c r="K6" s="8" t="s">
        <v>17</v>
      </c>
      <c r="L6" s="13" cm="1">
        <f t="array" ref="L6">atualizar_imovel($L$2,$I$2,I6,IPCA)</f>
        <v>100000</v>
      </c>
      <c r="M6" s="13"/>
      <c r="N6" s="13">
        <f t="shared" si="8"/>
        <v>3000</v>
      </c>
      <c r="O6" s="13" cm="1">
        <f t="array" ref="O6">atualizar_aluguel($O$2,$I$2,I6,IGPM)</f>
        <v>750</v>
      </c>
      <c r="P6" s="13">
        <f>P5+U5</f>
        <v>1875</v>
      </c>
      <c r="Q6" s="18">
        <f t="shared" si="1"/>
        <v>0.625</v>
      </c>
      <c r="R6" s="13">
        <f t="shared" si="2"/>
        <v>206.25000000000003</v>
      </c>
      <c r="S6" s="13">
        <f>O6*0.1</f>
        <v>75</v>
      </c>
      <c r="T6" s="13">
        <f t="shared" si="3"/>
        <v>281.25</v>
      </c>
      <c r="U6" s="13">
        <f>O6-R6-S6</f>
        <v>468.75</v>
      </c>
      <c r="W6" s="20">
        <v>46266</v>
      </c>
      <c r="X6" s="22">
        <v>2026</v>
      </c>
      <c r="Y6" s="8" t="s">
        <v>6</v>
      </c>
      <c r="Z6" s="13">
        <f t="shared" si="6"/>
        <v>104884.98365684836</v>
      </c>
      <c r="AA6" s="13" cm="1">
        <f t="array" ref="AA6">rendimento_cdb(Z6,CDI,CDB)</f>
        <v>1258.0860781639744</v>
      </c>
      <c r="AB6" s="13" cm="1">
        <f t="array" ref="AB6">irpf_regressiva(AA6,0.15)</f>
        <v>188.71291499999998</v>
      </c>
      <c r="AC6" s="13">
        <v>0</v>
      </c>
      <c r="AD6" s="13">
        <f t="shared" si="7"/>
        <v>1069.3731631639744</v>
      </c>
      <c r="AF6" s="7">
        <v>46266</v>
      </c>
      <c r="AG6" s="22">
        <v>2026</v>
      </c>
    </row>
    <row r="7" spans="1:33" x14ac:dyDescent="0.25">
      <c r="A7" s="9">
        <v>46296</v>
      </c>
      <c r="B7" s="22">
        <v>2026</v>
      </c>
      <c r="C7" s="10" t="s">
        <v>19</v>
      </c>
      <c r="D7" s="15">
        <f t="shared" si="5"/>
        <v>103382.93338050391</v>
      </c>
      <c r="E7" s="13" cm="1">
        <f t="array" ref="E7">rendimento_poupanca(D7,selic,TR)</f>
        <v>690.19772502297405</v>
      </c>
      <c r="F7" s="15">
        <v>0</v>
      </c>
      <c r="G7" s="14">
        <f t="shared" si="0"/>
        <v>690.19772502297405</v>
      </c>
      <c r="I7" s="21">
        <v>46296</v>
      </c>
      <c r="J7" s="22">
        <v>2026</v>
      </c>
      <c r="K7" s="10" t="s">
        <v>17</v>
      </c>
      <c r="L7" s="15" cm="1">
        <f t="array" ref="L7">atualizar_imovel($L$2,$I$2,I7,IPCA)</f>
        <v>100000</v>
      </c>
      <c r="M7" s="15"/>
      <c r="N7" s="15">
        <f t="shared" si="8"/>
        <v>3750</v>
      </c>
      <c r="O7" s="15" cm="1">
        <f t="array" ref="O7">atualizar_aluguel($O$2,$I$2,I7,IGPM)</f>
        <v>750</v>
      </c>
      <c r="P7" s="15">
        <f>P6+U6</f>
        <v>2343.75</v>
      </c>
      <c r="Q7" s="18">
        <f t="shared" si="1"/>
        <v>0.625</v>
      </c>
      <c r="R7" s="15">
        <f t="shared" si="2"/>
        <v>206.25000000000003</v>
      </c>
      <c r="S7" s="15">
        <f>O7*0.1</f>
        <v>75</v>
      </c>
      <c r="T7" s="13">
        <f t="shared" si="3"/>
        <v>281.25</v>
      </c>
      <c r="U7" s="15">
        <f>O7-R7-S7</f>
        <v>468.75</v>
      </c>
      <c r="W7" s="21">
        <v>46296</v>
      </c>
      <c r="X7" s="22">
        <v>2026</v>
      </c>
      <c r="Y7" s="10" t="s">
        <v>6</v>
      </c>
      <c r="Z7" s="15">
        <f t="shared" si="6"/>
        <v>106143.06973501234</v>
      </c>
      <c r="AA7" s="15" cm="1">
        <f t="array" ref="AA7">rendimento_cdb(Z7,CDI,CDB)</f>
        <v>1273.1767081655023</v>
      </c>
      <c r="AB7" s="15" cm="1">
        <f t="array" ref="AB7">irpf_regressiva(AA7,0.15)</f>
        <v>190.976505</v>
      </c>
      <c r="AC7" s="15">
        <v>0</v>
      </c>
      <c r="AD7" s="15">
        <f t="shared" si="7"/>
        <v>1082.2002031655022</v>
      </c>
      <c r="AF7" s="9">
        <v>46296</v>
      </c>
      <c r="AG7" s="22">
        <v>2026</v>
      </c>
    </row>
    <row r="8" spans="1:33" x14ac:dyDescent="0.25">
      <c r="A8" s="7">
        <v>46327</v>
      </c>
      <c r="B8" s="22">
        <v>2026</v>
      </c>
      <c r="C8" s="8" t="s">
        <v>19</v>
      </c>
      <c r="D8" s="13">
        <f t="shared" si="5"/>
        <v>104073.13110552687</v>
      </c>
      <c r="E8" s="13" cm="1">
        <f t="array" ref="E8">rendimento_poupanca(D8,selic,TR)</f>
        <v>694.80557340461121</v>
      </c>
      <c r="F8" s="13">
        <v>0</v>
      </c>
      <c r="G8" s="14">
        <f t="shared" si="0"/>
        <v>694.80557340461121</v>
      </c>
      <c r="I8" s="20">
        <v>46327</v>
      </c>
      <c r="J8" s="22">
        <v>2026</v>
      </c>
      <c r="K8" s="8" t="s">
        <v>17</v>
      </c>
      <c r="L8" s="13" cm="1">
        <f t="array" ref="L8">atualizar_imovel($L$2,$I$2,I8,IPCA)</f>
        <v>100000</v>
      </c>
      <c r="M8" s="13"/>
      <c r="N8" s="13">
        <f t="shared" si="8"/>
        <v>4500</v>
      </c>
      <c r="O8" s="13" cm="1">
        <f t="array" ref="O8">atualizar_aluguel($O$2,$I$2,I8,IGPM)</f>
        <v>750</v>
      </c>
      <c r="P8" s="13">
        <f>P7+U7</f>
        <v>2812.5</v>
      </c>
      <c r="Q8" s="18">
        <f t="shared" si="1"/>
        <v>0.625</v>
      </c>
      <c r="R8" s="13">
        <f t="shared" si="2"/>
        <v>206.25000000000003</v>
      </c>
      <c r="S8" s="13">
        <f>O8*0.1</f>
        <v>75</v>
      </c>
      <c r="T8" s="13">
        <f t="shared" si="3"/>
        <v>281.25</v>
      </c>
      <c r="U8" s="13">
        <f>O8-R8-S8</f>
        <v>468.75</v>
      </c>
      <c r="W8" s="20">
        <v>46327</v>
      </c>
      <c r="X8" s="22">
        <v>2026</v>
      </c>
      <c r="Y8" s="8" t="s">
        <v>6</v>
      </c>
      <c r="Z8" s="13">
        <f t="shared" si="6"/>
        <v>107416.24644317784</v>
      </c>
      <c r="AA8" s="13" cm="1">
        <f t="array" ref="AA8">rendimento_cdb(Z8,CDI,CDB)</f>
        <v>1288.4483497752706</v>
      </c>
      <c r="AB8" s="13" cm="1">
        <f t="array" ref="AB8">irpf_regressiva(AA8,0.15)</f>
        <v>193.267245</v>
      </c>
      <c r="AC8" s="13">
        <v>0</v>
      </c>
      <c r="AD8" s="13">
        <f t="shared" si="7"/>
        <v>1095.1811047752706</v>
      </c>
      <c r="AF8" s="7">
        <v>46327</v>
      </c>
      <c r="AG8" s="22">
        <v>2026</v>
      </c>
    </row>
    <row r="9" spans="1:33" x14ac:dyDescent="0.25">
      <c r="A9" s="9">
        <v>46357</v>
      </c>
      <c r="B9" s="22">
        <v>2026</v>
      </c>
      <c r="C9" s="10" t="s">
        <v>19</v>
      </c>
      <c r="D9" s="15">
        <f t="shared" si="5"/>
        <v>104767.93667893148</v>
      </c>
      <c r="E9" s="13" cm="1">
        <f t="array" ref="E9">rendimento_poupanca(D9,selic,TR)</f>
        <v>699.44418471773565</v>
      </c>
      <c r="F9" s="15">
        <v>0</v>
      </c>
      <c r="G9" s="14">
        <f t="shared" si="0"/>
        <v>699.44418471773565</v>
      </c>
      <c r="I9" s="21">
        <v>46357</v>
      </c>
      <c r="J9" s="22">
        <v>2026</v>
      </c>
      <c r="K9" s="10" t="s">
        <v>17</v>
      </c>
      <c r="L9" s="15" cm="1">
        <f t="array" ref="L9">atualizar_imovel($L$2,$I$2,I9,IPCA)</f>
        <v>100000</v>
      </c>
      <c r="M9" s="15"/>
      <c r="N9" s="15">
        <f t="shared" si="8"/>
        <v>5250</v>
      </c>
      <c r="O9" s="15" cm="1">
        <f t="array" ref="O9">atualizar_aluguel($O$2,$I$2,I9,IGPM)</f>
        <v>750</v>
      </c>
      <c r="P9" s="15">
        <f>P8+U8</f>
        <v>3281.25</v>
      </c>
      <c r="Q9" s="18">
        <f t="shared" si="1"/>
        <v>0.625</v>
      </c>
      <c r="R9" s="15">
        <f t="shared" si="2"/>
        <v>206.25000000000003</v>
      </c>
      <c r="S9" s="15">
        <f>O9*0.1</f>
        <v>75</v>
      </c>
      <c r="T9" s="13">
        <f t="shared" si="3"/>
        <v>281.25</v>
      </c>
      <c r="U9" s="15">
        <f>O9-R9-S9</f>
        <v>468.75</v>
      </c>
      <c r="W9" s="21">
        <v>46357</v>
      </c>
      <c r="X9" s="22">
        <v>2026</v>
      </c>
      <c r="Y9" s="10" t="s">
        <v>6</v>
      </c>
      <c r="Z9" s="15">
        <f t="shared" si="6"/>
        <v>108704.6947929531</v>
      </c>
      <c r="AA9" s="15" cm="1">
        <f t="array" ref="AA9">rendimento_cdb(Z9,CDI,CDB)</f>
        <v>1303.9031740722269</v>
      </c>
      <c r="AB9" s="15" cm="1">
        <f t="array" ref="AB9">irpf_regressiva(AA9,0.15)</f>
        <v>195.58547999999999</v>
      </c>
      <c r="AC9" s="15">
        <v>0</v>
      </c>
      <c r="AD9" s="15">
        <f t="shared" si="7"/>
        <v>1108.3176940722269</v>
      </c>
      <c r="AF9" s="9">
        <v>46357</v>
      </c>
      <c r="AG9" s="22">
        <v>2026</v>
      </c>
    </row>
    <row r="10" spans="1:33" x14ac:dyDescent="0.25">
      <c r="A10" s="7">
        <v>46388</v>
      </c>
      <c r="B10" s="22">
        <v>2027</v>
      </c>
      <c r="C10" s="8" t="s">
        <v>19</v>
      </c>
      <c r="D10" s="13">
        <f t="shared" si="5"/>
        <v>105467.38086364922</v>
      </c>
      <c r="E10" s="13" cm="1">
        <f t="array" ref="E10">rendimento_poupanca(D10,selic,TR)</f>
        <v>704.11376391948534</v>
      </c>
      <c r="F10" s="13">
        <v>0</v>
      </c>
      <c r="G10" s="14">
        <f t="shared" si="0"/>
        <v>704.11376391948534</v>
      </c>
      <c r="I10" s="20">
        <v>46388</v>
      </c>
      <c r="J10" s="22">
        <v>2027</v>
      </c>
      <c r="K10" s="8" t="s">
        <v>17</v>
      </c>
      <c r="L10" s="13" cm="1">
        <f t="array" ref="L10">atualizar_imovel($L$2,$I$2,I10,IPCA)</f>
        <v>100000</v>
      </c>
      <c r="M10" s="13"/>
      <c r="N10" s="13">
        <f t="shared" si="8"/>
        <v>6000</v>
      </c>
      <c r="O10" s="13" cm="1">
        <f t="array" ref="O10">atualizar_aluguel($O$2,$I$2,I10,IGPM)</f>
        <v>750</v>
      </c>
      <c r="P10" s="13">
        <f>P9+U9</f>
        <v>3750</v>
      </c>
      <c r="Q10" s="18">
        <f t="shared" si="1"/>
        <v>0.625</v>
      </c>
      <c r="R10" s="13">
        <f t="shared" si="2"/>
        <v>206.25000000000003</v>
      </c>
      <c r="S10" s="13">
        <f>O10*0.1</f>
        <v>75</v>
      </c>
      <c r="T10" s="13">
        <f t="shared" si="3"/>
        <v>281.25</v>
      </c>
      <c r="U10" s="13">
        <f>O10-R10-S10</f>
        <v>468.75</v>
      </c>
      <c r="W10" s="20">
        <v>46388</v>
      </c>
      <c r="X10" s="22">
        <v>2027</v>
      </c>
      <c r="Y10" s="8" t="s">
        <v>6</v>
      </c>
      <c r="Z10" s="13">
        <f t="shared" si="6"/>
        <v>110008.59796702533</v>
      </c>
      <c r="AA10" s="13" cm="1">
        <f t="array" ref="AA10">rendimento_cdb(Z10,CDI,CDB)</f>
        <v>1319.5433773246345</v>
      </c>
      <c r="AB10" s="13" cm="1">
        <f t="array" ref="AB10">irpf_regressiva(AA10,0.15)</f>
        <v>197.93151</v>
      </c>
      <c r="AC10" s="13">
        <v>0</v>
      </c>
      <c r="AD10" s="13">
        <f t="shared" si="7"/>
        <v>1121.6118673246347</v>
      </c>
      <c r="AF10" s="7">
        <v>46388</v>
      </c>
      <c r="AG10" s="22">
        <v>2027</v>
      </c>
    </row>
    <row r="11" spans="1:33" x14ac:dyDescent="0.25">
      <c r="A11" s="9">
        <v>46419</v>
      </c>
      <c r="B11" s="22">
        <v>2027</v>
      </c>
      <c r="C11" s="10" t="s">
        <v>19</v>
      </c>
      <c r="D11" s="15">
        <f t="shared" si="5"/>
        <v>106171.4946275687</v>
      </c>
      <c r="E11" s="13" cm="1">
        <f t="array" ref="E11">rendimento_poupanca(D11,selic,TR)</f>
        <v>708.81451730222409</v>
      </c>
      <c r="F11" s="15">
        <v>0</v>
      </c>
      <c r="G11" s="14">
        <f t="shared" si="0"/>
        <v>708.81451730222409</v>
      </c>
      <c r="I11" s="21">
        <v>46419</v>
      </c>
      <c r="J11" s="22">
        <v>2027</v>
      </c>
      <c r="K11" s="10" t="s">
        <v>17</v>
      </c>
      <c r="L11" s="15" cm="1">
        <f t="array" ref="L11">atualizar_imovel($L$2,$I$2,I11,IPCA)</f>
        <v>100000</v>
      </c>
      <c r="M11" s="15"/>
      <c r="N11" s="15">
        <f t="shared" si="8"/>
        <v>6750</v>
      </c>
      <c r="O11" s="15" cm="1">
        <f t="array" ref="O11">atualizar_aluguel($O$2,$I$2,I11,IGPM)</f>
        <v>750</v>
      </c>
      <c r="P11" s="15">
        <f>P10+U10</f>
        <v>4218.75</v>
      </c>
      <c r="Q11" s="18">
        <f t="shared" si="1"/>
        <v>0.625</v>
      </c>
      <c r="R11" s="15">
        <f t="shared" si="2"/>
        <v>206.25000000000003</v>
      </c>
      <c r="S11" s="15">
        <f>O11*0.1</f>
        <v>75</v>
      </c>
      <c r="T11" s="13">
        <f t="shared" si="3"/>
        <v>281.25</v>
      </c>
      <c r="U11" s="15">
        <f>O11-R11-S11</f>
        <v>468.75</v>
      </c>
      <c r="W11" s="21">
        <v>46419</v>
      </c>
      <c r="X11" s="22">
        <v>2027</v>
      </c>
      <c r="Y11" s="10" t="s">
        <v>6</v>
      </c>
      <c r="Z11" s="15">
        <f t="shared" si="6"/>
        <v>111328.14134434996</v>
      </c>
      <c r="AA11" s="15" cm="1">
        <f t="array" ref="AA11">rendimento_cdb(Z11,CDI,CDB)</f>
        <v>1335.3711821895606</v>
      </c>
      <c r="AB11" s="15" cm="1">
        <f t="array" ref="AB11">irpf_regressiva(AA11,0.15)</f>
        <v>200.30568</v>
      </c>
      <c r="AC11" s="15">
        <v>0</v>
      </c>
      <c r="AD11" s="15">
        <f t="shared" si="7"/>
        <v>1135.0655021895607</v>
      </c>
      <c r="AF11" s="9">
        <v>46419</v>
      </c>
      <c r="AG11" s="22">
        <v>2027</v>
      </c>
    </row>
    <row r="12" spans="1:33" x14ac:dyDescent="0.25">
      <c r="A12" s="7">
        <v>46447</v>
      </c>
      <c r="B12" s="22">
        <v>2027</v>
      </c>
      <c r="C12" s="8" t="s">
        <v>19</v>
      </c>
      <c r="D12" s="13">
        <f t="shared" si="5"/>
        <v>106880.30914487092</v>
      </c>
      <c r="E12" s="13" cm="1">
        <f t="array" ref="E12">rendimento_poupanca(D12,selic,TR)</f>
        <v>713.54665382876703</v>
      </c>
      <c r="F12" s="13">
        <v>0</v>
      </c>
      <c r="G12" s="14">
        <f t="shared" si="0"/>
        <v>713.54665382876703</v>
      </c>
      <c r="I12" s="20">
        <v>46447</v>
      </c>
      <c r="J12" s="22">
        <v>2027</v>
      </c>
      <c r="K12" s="8" t="s">
        <v>17</v>
      </c>
      <c r="L12" s="13" cm="1">
        <f t="array" ref="L12">atualizar_imovel($L$2,$I$2,I12,IPCA)</f>
        <v>100000</v>
      </c>
      <c r="M12" s="13"/>
      <c r="N12" s="13">
        <f t="shared" si="8"/>
        <v>7500</v>
      </c>
      <c r="O12" s="13" cm="1">
        <f t="array" ref="O12">atualizar_aluguel($O$2,$I$2,I12,IGPM)</f>
        <v>750</v>
      </c>
      <c r="P12" s="13">
        <f>P11+U11</f>
        <v>4687.5</v>
      </c>
      <c r="Q12" s="18">
        <f t="shared" si="1"/>
        <v>0.625</v>
      </c>
      <c r="R12" s="13">
        <f t="shared" si="2"/>
        <v>206.25000000000003</v>
      </c>
      <c r="S12" s="13">
        <f>O12*0.1</f>
        <v>75</v>
      </c>
      <c r="T12" s="13">
        <f t="shared" si="3"/>
        <v>281.25</v>
      </c>
      <c r="U12" s="13">
        <f>O12-R12-S12</f>
        <v>468.75</v>
      </c>
      <c r="W12" s="20">
        <v>46447</v>
      </c>
      <c r="X12" s="22">
        <v>2027</v>
      </c>
      <c r="Y12" s="8" t="s">
        <v>6</v>
      </c>
      <c r="Z12" s="13">
        <f t="shared" si="6"/>
        <v>112663.51252653952</v>
      </c>
      <c r="AA12" s="13" cm="1">
        <f t="array" ref="AA12">rendimento_cdb(Z12,CDI,CDB)</f>
        <v>1351.3888413113507</v>
      </c>
      <c r="AB12" s="13" cm="1">
        <f t="array" ref="AB12">irpf_regressiva(AA12,0.15)</f>
        <v>202.70831999999999</v>
      </c>
      <c r="AC12" s="13">
        <v>0</v>
      </c>
      <c r="AD12" s="13">
        <f t="shared" si="7"/>
        <v>1148.6805213113507</v>
      </c>
      <c r="AF12" s="7">
        <v>46447</v>
      </c>
      <c r="AG12" s="22">
        <v>2027</v>
      </c>
    </row>
    <row r="13" spans="1:33" x14ac:dyDescent="0.25">
      <c r="A13" s="9">
        <v>46478</v>
      </c>
      <c r="B13" s="22">
        <v>2027</v>
      </c>
      <c r="C13" s="10" t="s">
        <v>19</v>
      </c>
      <c r="D13" s="15">
        <f t="shared" si="5"/>
        <v>107593.85579869969</v>
      </c>
      <c r="E13" s="13" cm="1">
        <f t="array" ref="E13">rendimento_poupanca(D13,selic,TR)</f>
        <v>718.31038312954206</v>
      </c>
      <c r="F13" s="15">
        <v>0</v>
      </c>
      <c r="G13" s="14">
        <f t="shared" si="0"/>
        <v>718.31038312954206</v>
      </c>
      <c r="I13" s="21">
        <v>46478</v>
      </c>
      <c r="J13" s="22">
        <v>2027</v>
      </c>
      <c r="K13" s="10" t="s">
        <v>17</v>
      </c>
      <c r="L13" s="15" cm="1">
        <f t="array" ref="L13">atualizar_imovel($L$2,$I$2,I13,IPCA)</f>
        <v>100000</v>
      </c>
      <c r="M13" s="15"/>
      <c r="N13" s="15">
        <f t="shared" si="8"/>
        <v>8250</v>
      </c>
      <c r="O13" s="15" cm="1">
        <f t="array" ref="O13">atualizar_aluguel($O$2,$I$2,I13,IGPM)</f>
        <v>750</v>
      </c>
      <c r="P13" s="15">
        <f>P12+U12</f>
        <v>5156.25</v>
      </c>
      <c r="Q13" s="18">
        <f t="shared" si="1"/>
        <v>0.625</v>
      </c>
      <c r="R13" s="15">
        <f t="shared" si="2"/>
        <v>206.25000000000003</v>
      </c>
      <c r="S13" s="15">
        <f>O13*0.1</f>
        <v>75</v>
      </c>
      <c r="T13" s="13">
        <f t="shared" si="3"/>
        <v>281.25</v>
      </c>
      <c r="U13" s="15">
        <f>O13-R13-S13</f>
        <v>468.75</v>
      </c>
      <c r="W13" s="21">
        <v>46478</v>
      </c>
      <c r="X13" s="22">
        <v>2027</v>
      </c>
      <c r="Y13" s="10" t="s">
        <v>6</v>
      </c>
      <c r="Z13" s="15">
        <f t="shared" si="6"/>
        <v>114014.90136785086</v>
      </c>
      <c r="AA13" s="15" cm="1">
        <f t="array" ref="AA13">rendimento_cdb(Z13,CDI,CDB)</f>
        <v>1367.5986313241735</v>
      </c>
      <c r="AB13" s="15" cm="1">
        <f t="array" ref="AB13">irpf_regressiva(AA13,0.15)</f>
        <v>205.13979</v>
      </c>
      <c r="AC13" s="15">
        <v>0</v>
      </c>
      <c r="AD13" s="15">
        <f t="shared" si="7"/>
        <v>1162.4588413241736</v>
      </c>
      <c r="AF13" s="9">
        <v>46478</v>
      </c>
      <c r="AG13" s="22">
        <v>2027</v>
      </c>
    </row>
    <row r="14" spans="1:33" x14ac:dyDescent="0.25">
      <c r="A14" s="7">
        <v>46508</v>
      </c>
      <c r="B14" s="22">
        <v>2027</v>
      </c>
      <c r="C14" s="8" t="s">
        <v>19</v>
      </c>
      <c r="D14" s="13">
        <f t="shared" si="5"/>
        <v>108312.16618182923</v>
      </c>
      <c r="E14" s="13" cm="1">
        <f t="array" ref="E14">rendimento_poupanca(D14,selic,TR)</f>
        <v>723.10591550258982</v>
      </c>
      <c r="F14" s="13">
        <v>0</v>
      </c>
      <c r="G14" s="14">
        <f t="shared" si="0"/>
        <v>723.10591550258982</v>
      </c>
      <c r="I14" s="20">
        <v>46508</v>
      </c>
      <c r="J14" s="22">
        <v>2027</v>
      </c>
      <c r="K14" s="8" t="s">
        <v>17</v>
      </c>
      <c r="L14" s="13" cm="1">
        <f t="array" ref="L14">atualizar_imovel($L$2,$I$2,I14,IPCA)</f>
        <v>104099.99999999999</v>
      </c>
      <c r="M14" s="13">
        <f>O14</f>
        <v>777.3</v>
      </c>
      <c r="N14" s="13">
        <f t="shared" si="8"/>
        <v>9000</v>
      </c>
      <c r="O14" s="13" cm="1">
        <f t="array" ref="O14">atualizar_aluguel($O$2,$I$2,I14,IGPM)</f>
        <v>777.3</v>
      </c>
      <c r="P14" s="13">
        <f>P13+U13</f>
        <v>5625</v>
      </c>
      <c r="Q14" s="18">
        <f t="shared" si="1"/>
        <v>0.625</v>
      </c>
      <c r="R14" s="13">
        <f t="shared" si="2"/>
        <v>213.75749999999999</v>
      </c>
      <c r="S14" s="13">
        <f>O14*0.1</f>
        <v>77.73</v>
      </c>
      <c r="T14" s="13">
        <f t="shared" si="3"/>
        <v>291.48750000000001</v>
      </c>
      <c r="U14" s="13">
        <f>O14-R14-S14</f>
        <v>485.8125</v>
      </c>
      <c r="W14" s="20">
        <v>46508</v>
      </c>
      <c r="X14" s="22">
        <v>2027</v>
      </c>
      <c r="Y14" s="8" t="s">
        <v>6</v>
      </c>
      <c r="Z14" s="13">
        <f t="shared" si="6"/>
        <v>115382.49999917504</v>
      </c>
      <c r="AA14" s="13" cm="1">
        <f t="array" ref="AA14">rendimento_cdb(Z14,CDI,CDB)</f>
        <v>1384.0028552510018</v>
      </c>
      <c r="AB14" s="13" cm="1">
        <f t="array" ref="AB14">irpf_regressiva(AA14,0.15)</f>
        <v>207.60043499999998</v>
      </c>
      <c r="AC14" s="13">
        <v>0</v>
      </c>
      <c r="AD14" s="13">
        <f t="shared" si="7"/>
        <v>1176.4024202510018</v>
      </c>
      <c r="AF14" s="7">
        <v>46508</v>
      </c>
      <c r="AG14" s="22">
        <v>2027</v>
      </c>
    </row>
    <row r="15" spans="1:33" x14ac:dyDescent="0.25">
      <c r="A15" s="9">
        <v>46539</v>
      </c>
      <c r="B15" s="22">
        <v>2027</v>
      </c>
      <c r="C15" s="10" t="s">
        <v>19</v>
      </c>
      <c r="D15" s="15">
        <f t="shared" si="5"/>
        <v>109035.27209733182</v>
      </c>
      <c r="E15" s="13" cm="1">
        <f t="array" ref="E15">rendimento_poupanca(D15,selic,TR)</f>
        <v>727.93346324878962</v>
      </c>
      <c r="F15" s="15">
        <v>0</v>
      </c>
      <c r="G15" s="14">
        <f t="shared" si="0"/>
        <v>727.93346324878962</v>
      </c>
      <c r="I15" s="21">
        <v>46539</v>
      </c>
      <c r="J15" s="22">
        <v>2027</v>
      </c>
      <c r="K15" s="10" t="s">
        <v>17</v>
      </c>
      <c r="L15" s="15" cm="1">
        <f t="array" ref="L15">atualizar_imovel($L$2,$I$2,I15,IPCA)</f>
        <v>104099.99999999999</v>
      </c>
      <c r="M15" s="15"/>
      <c r="N15" s="15">
        <f t="shared" si="8"/>
        <v>9777.2999999999993</v>
      </c>
      <c r="O15" s="15" cm="1">
        <f t="array" ref="O15">atualizar_aluguel($O$2,$I$2,I15,IGPM)</f>
        <v>777.3</v>
      </c>
      <c r="P15" s="15">
        <f>P14+U14</f>
        <v>6110.8125</v>
      </c>
      <c r="Q15" s="18">
        <f t="shared" si="1"/>
        <v>0.625</v>
      </c>
      <c r="R15" s="15">
        <f t="shared" si="2"/>
        <v>213.75749999999999</v>
      </c>
      <c r="S15" s="15">
        <f>O15*0.1</f>
        <v>77.73</v>
      </c>
      <c r="T15" s="13">
        <f t="shared" si="3"/>
        <v>291.48750000000001</v>
      </c>
      <c r="U15" s="15">
        <f>O15-R15-S15</f>
        <v>485.8125</v>
      </c>
      <c r="W15" s="21">
        <v>46539</v>
      </c>
      <c r="X15" s="22">
        <v>2027</v>
      </c>
      <c r="Y15" s="10" t="s">
        <v>6</v>
      </c>
      <c r="Z15" s="15">
        <f t="shared" si="6"/>
        <v>116766.50285442604</v>
      </c>
      <c r="AA15" s="15" cm="1">
        <f t="array" ref="AA15">rendimento_cdb(Z15,CDI,CDB)</f>
        <v>1400.6038473015785</v>
      </c>
      <c r="AB15" s="15" cm="1">
        <f t="array" ref="AB15">irpf_regressiva(AA15,0.15)</f>
        <v>210.09057000000001</v>
      </c>
      <c r="AC15" s="15">
        <v>0</v>
      </c>
      <c r="AD15" s="15">
        <f t="shared" si="7"/>
        <v>1190.5132773015785</v>
      </c>
      <c r="AF15" s="9">
        <v>46539</v>
      </c>
      <c r="AG15" s="22">
        <v>2027</v>
      </c>
    </row>
    <row r="16" spans="1:33" x14ac:dyDescent="0.25">
      <c r="A16" s="7">
        <v>46569</v>
      </c>
      <c r="B16" s="22">
        <v>2027</v>
      </c>
      <c r="C16" s="8" t="s">
        <v>19</v>
      </c>
      <c r="D16" s="13">
        <f t="shared" si="5"/>
        <v>109763.20556058061</v>
      </c>
      <c r="E16" s="13" cm="1">
        <f t="array" ref="E16">rendimento_poupanca(D16,selic,TR)</f>
        <v>732.79324067185905</v>
      </c>
      <c r="F16" s="13">
        <v>0</v>
      </c>
      <c r="G16" s="14">
        <f t="shared" si="0"/>
        <v>732.79324067185905</v>
      </c>
      <c r="I16" s="20">
        <v>46569</v>
      </c>
      <c r="J16" s="22">
        <v>2027</v>
      </c>
      <c r="K16" s="8" t="s">
        <v>17</v>
      </c>
      <c r="L16" s="13" cm="1">
        <f t="array" ref="L16">atualizar_imovel($L$2,$I$2,I16,IPCA)</f>
        <v>104099.99999999999</v>
      </c>
      <c r="M16" s="13"/>
      <c r="N16" s="13">
        <f t="shared" si="8"/>
        <v>10554.599999999999</v>
      </c>
      <c r="O16" s="13" cm="1">
        <f t="array" ref="O16">atualizar_aluguel($O$2,$I$2,I16,IGPM)</f>
        <v>777.3</v>
      </c>
      <c r="P16" s="13">
        <f>P15+U15</f>
        <v>6596.625</v>
      </c>
      <c r="Q16" s="18">
        <f t="shared" si="1"/>
        <v>0.625</v>
      </c>
      <c r="R16" s="13">
        <f t="shared" si="2"/>
        <v>213.75749999999999</v>
      </c>
      <c r="S16" s="13">
        <f>O16*0.1</f>
        <v>77.73</v>
      </c>
      <c r="T16" s="13">
        <f t="shared" si="3"/>
        <v>291.48750000000001</v>
      </c>
      <c r="U16" s="13">
        <f>O16-R16-S16</f>
        <v>485.8125</v>
      </c>
      <c r="W16" s="20">
        <v>46569</v>
      </c>
      <c r="X16" s="22">
        <v>2027</v>
      </c>
      <c r="Y16" s="8" t="s">
        <v>6</v>
      </c>
      <c r="Z16" s="13">
        <f t="shared" si="6"/>
        <v>118167.10670172762</v>
      </c>
      <c r="AA16" s="13" cm="1">
        <f t="array" ref="AA16">rendimento_cdb(Z16,CDI,CDB)</f>
        <v>1417.403965675469</v>
      </c>
      <c r="AB16" s="13" cm="1">
        <f t="array" ref="AB16">irpf_regressiva(AA16,0.15)</f>
        <v>212.61060000000001</v>
      </c>
      <c r="AC16" s="13">
        <v>0</v>
      </c>
      <c r="AD16" s="13">
        <f t="shared" si="7"/>
        <v>1204.793365675469</v>
      </c>
      <c r="AF16" s="7">
        <v>46569</v>
      </c>
      <c r="AG16" s="22">
        <v>2027</v>
      </c>
    </row>
    <row r="17" spans="1:33" x14ac:dyDescent="0.25">
      <c r="A17" s="9">
        <v>46600</v>
      </c>
      <c r="B17" s="22">
        <v>2027</v>
      </c>
      <c r="C17" s="10" t="s">
        <v>19</v>
      </c>
      <c r="D17" s="15">
        <f t="shared" si="5"/>
        <v>110495.99880125247</v>
      </c>
      <c r="E17" s="13" cm="1">
        <f t="array" ref="E17">rendimento_poupanca(D17,selic,TR)</f>
        <v>737.68546207551583</v>
      </c>
      <c r="F17" s="15">
        <v>0</v>
      </c>
      <c r="G17" s="14">
        <f t="shared" si="0"/>
        <v>737.68546207551583</v>
      </c>
      <c r="I17" s="21">
        <v>46600</v>
      </c>
      <c r="J17" s="22">
        <v>2027</v>
      </c>
      <c r="K17" s="10" t="s">
        <v>17</v>
      </c>
      <c r="L17" s="15" cm="1">
        <f t="array" ref="L17">atualizar_imovel($L$2,$I$2,I17,IPCA)</f>
        <v>104099.99999999999</v>
      </c>
      <c r="M17" s="15"/>
      <c r="N17" s="15">
        <f t="shared" si="8"/>
        <v>11331.899999999998</v>
      </c>
      <c r="O17" s="15" cm="1">
        <f t="array" ref="O17">atualizar_aluguel($O$2,$I$2,I17,IGPM)</f>
        <v>777.3</v>
      </c>
      <c r="P17" s="15">
        <f>P16+U16</f>
        <v>7082.4375</v>
      </c>
      <c r="Q17" s="18">
        <f t="shared" si="1"/>
        <v>0.625</v>
      </c>
      <c r="R17" s="15">
        <f t="shared" si="2"/>
        <v>213.75749999999999</v>
      </c>
      <c r="S17" s="15">
        <f>O17*0.1</f>
        <v>77.73</v>
      </c>
      <c r="T17" s="13">
        <f t="shared" si="3"/>
        <v>291.48750000000001</v>
      </c>
      <c r="U17" s="15">
        <f>O17-R17-S17</f>
        <v>485.8125</v>
      </c>
      <c r="W17" s="21">
        <v>46600</v>
      </c>
      <c r="X17" s="22">
        <v>2027</v>
      </c>
      <c r="Y17" s="10" t="s">
        <v>6</v>
      </c>
      <c r="Z17" s="15">
        <f t="shared" si="6"/>
        <v>119584.5106674031</v>
      </c>
      <c r="AA17" s="15" cm="1">
        <f t="array" ref="AA17">rendimento_cdb(Z17,CDI,CDB)</f>
        <v>1434.4056009584986</v>
      </c>
      <c r="AB17" s="15" cm="1">
        <f t="array" ref="AB17">irpf_regressiva(AA17,0.15)</f>
        <v>215.16084000000001</v>
      </c>
      <c r="AC17" s="15">
        <v>0</v>
      </c>
      <c r="AD17" s="15">
        <f t="shared" si="7"/>
        <v>1219.2447609584985</v>
      </c>
      <c r="AF17" s="9">
        <v>46600</v>
      </c>
      <c r="AG17" s="22">
        <v>2027</v>
      </c>
    </row>
    <row r="18" spans="1:33" x14ac:dyDescent="0.25">
      <c r="A18" s="7">
        <v>46631</v>
      </c>
      <c r="B18" s="22">
        <v>2027</v>
      </c>
      <c r="C18" s="8" t="s">
        <v>19</v>
      </c>
      <c r="D18" s="13">
        <f t="shared" si="5"/>
        <v>111233.68426332799</v>
      </c>
      <c r="E18" s="13" cm="1">
        <f t="array" ref="E18">rendimento_poupanca(D18,selic,TR)</f>
        <v>742.61034510154172</v>
      </c>
      <c r="F18" s="13">
        <v>0</v>
      </c>
      <c r="G18" s="14">
        <f t="shared" si="0"/>
        <v>742.61034510154172</v>
      </c>
      <c r="I18" s="20">
        <v>46631</v>
      </c>
      <c r="J18" s="22">
        <v>2027</v>
      </c>
      <c r="K18" s="8" t="s">
        <v>17</v>
      </c>
      <c r="L18" s="13" cm="1">
        <f t="array" ref="L18">atualizar_imovel($L$2,$I$2,I18,IPCA)</f>
        <v>104099.99999999999</v>
      </c>
      <c r="M18" s="13"/>
      <c r="N18" s="13">
        <f t="shared" si="8"/>
        <v>12109.199999999997</v>
      </c>
      <c r="O18" s="13" cm="1">
        <f t="array" ref="O18">atualizar_aluguel($O$2,$I$2,I18,IGPM)</f>
        <v>777.3</v>
      </c>
      <c r="P18" s="13">
        <f>P17+U17</f>
        <v>7568.25</v>
      </c>
      <c r="Q18" s="18">
        <f t="shared" si="1"/>
        <v>0.625</v>
      </c>
      <c r="R18" s="13">
        <f t="shared" si="2"/>
        <v>213.75749999999999</v>
      </c>
      <c r="S18" s="13">
        <f>O18*0.1</f>
        <v>77.73</v>
      </c>
      <c r="T18" s="13">
        <f t="shared" si="3"/>
        <v>291.48750000000001</v>
      </c>
      <c r="U18" s="13">
        <f>O18-R18-S18</f>
        <v>485.8125</v>
      </c>
      <c r="W18" s="20">
        <v>46631</v>
      </c>
      <c r="X18" s="22">
        <v>2027</v>
      </c>
      <c r="Y18" s="8" t="s">
        <v>6</v>
      </c>
      <c r="Z18" s="13">
        <f t="shared" si="6"/>
        <v>121018.9162683616</v>
      </c>
      <c r="AA18" s="13" cm="1">
        <f t="array" ref="AA18">rendimento_cdb(Z18,CDI,CDB)</f>
        <v>1451.6111689258075</v>
      </c>
      <c r="AB18" s="13" cm="1">
        <f t="array" ref="AB18">irpf_regressiva(AA18,0.15)</f>
        <v>217.74168</v>
      </c>
      <c r="AC18" s="13">
        <v>0</v>
      </c>
      <c r="AD18" s="13">
        <f t="shared" si="7"/>
        <v>1233.8694889258074</v>
      </c>
      <c r="AF18" s="7">
        <v>46631</v>
      </c>
      <c r="AG18" s="22">
        <v>2027</v>
      </c>
    </row>
    <row r="19" spans="1:33" x14ac:dyDescent="0.25">
      <c r="A19" s="9">
        <v>46661</v>
      </c>
      <c r="B19" s="22">
        <v>2027</v>
      </c>
      <c r="C19" s="10" t="s">
        <v>19</v>
      </c>
      <c r="D19" s="15">
        <f t="shared" si="5"/>
        <v>111976.29460842953</v>
      </c>
      <c r="E19" s="13" cm="1">
        <f t="array" ref="E19">rendimento_poupanca(D19,selic,TR)</f>
        <v>747.56810672410597</v>
      </c>
      <c r="F19" s="15">
        <v>0</v>
      </c>
      <c r="G19" s="14">
        <f t="shared" si="0"/>
        <v>747.56810672410597</v>
      </c>
      <c r="I19" s="21">
        <v>46661</v>
      </c>
      <c r="J19" s="22">
        <v>2027</v>
      </c>
      <c r="K19" s="10" t="s">
        <v>17</v>
      </c>
      <c r="L19" s="15" cm="1">
        <f t="array" ref="L19">atualizar_imovel($L$2,$I$2,I19,IPCA)</f>
        <v>104099.99999999999</v>
      </c>
      <c r="M19" s="15"/>
      <c r="N19" s="15">
        <f t="shared" si="8"/>
        <v>12886.499999999996</v>
      </c>
      <c r="O19" s="15" cm="1">
        <f t="array" ref="O19">atualizar_aluguel($O$2,$I$2,I19,IGPM)</f>
        <v>777.3</v>
      </c>
      <c r="P19" s="15">
        <f>P18+U18</f>
        <v>8054.0625</v>
      </c>
      <c r="Q19" s="18">
        <f t="shared" si="1"/>
        <v>0.625</v>
      </c>
      <c r="R19" s="15">
        <f t="shared" si="2"/>
        <v>213.75749999999999</v>
      </c>
      <c r="S19" s="15">
        <f>O19*0.1</f>
        <v>77.73</v>
      </c>
      <c r="T19" s="13">
        <f t="shared" si="3"/>
        <v>291.48750000000001</v>
      </c>
      <c r="U19" s="15">
        <f>O19-R19-S19</f>
        <v>485.8125</v>
      </c>
      <c r="W19" s="21">
        <v>46661</v>
      </c>
      <c r="X19" s="22">
        <v>2027</v>
      </c>
      <c r="Y19" s="10" t="s">
        <v>6</v>
      </c>
      <c r="Z19" s="15">
        <f t="shared" si="6"/>
        <v>122470.52743728741</v>
      </c>
      <c r="AA19" s="15" cm="1">
        <f t="array" ref="AA19">rendimento_cdb(Z19,CDI,CDB)</f>
        <v>1469.0231153398138</v>
      </c>
      <c r="AB19" s="15" cm="1">
        <f t="array" ref="AB19">irpf_regressiva(AA19,0.15)</f>
        <v>220.353465</v>
      </c>
      <c r="AC19" s="15">
        <v>0</v>
      </c>
      <c r="AD19" s="15">
        <f t="shared" si="7"/>
        <v>1248.6696503398139</v>
      </c>
      <c r="AF19" s="9">
        <v>46661</v>
      </c>
      <c r="AG19" s="22">
        <v>2027</v>
      </c>
    </row>
    <row r="20" spans="1:33" x14ac:dyDescent="0.25">
      <c r="A20" s="7">
        <v>46692</v>
      </c>
      <c r="B20" s="22">
        <v>2027</v>
      </c>
      <c r="C20" s="8" t="s">
        <v>19</v>
      </c>
      <c r="D20" s="13">
        <f t="shared" si="5"/>
        <v>112723.86271515363</v>
      </c>
      <c r="E20" s="13" cm="1">
        <f t="array" ref="E20">rendimento_poupanca(D20,selic,TR)</f>
        <v>752.55896725544142</v>
      </c>
      <c r="F20" s="13">
        <v>0</v>
      </c>
      <c r="G20" s="14">
        <f t="shared" si="0"/>
        <v>752.55896725544142</v>
      </c>
      <c r="I20" s="20">
        <v>46692</v>
      </c>
      <c r="J20" s="22">
        <v>2027</v>
      </c>
      <c r="K20" s="8" t="s">
        <v>17</v>
      </c>
      <c r="L20" s="13" cm="1">
        <f t="array" ref="L20">atualizar_imovel($L$2,$I$2,I20,IPCA)</f>
        <v>104099.99999999999</v>
      </c>
      <c r="M20" s="13"/>
      <c r="N20" s="13">
        <f t="shared" si="8"/>
        <v>13663.799999999996</v>
      </c>
      <c r="O20" s="13" cm="1">
        <f t="array" ref="O20">atualizar_aluguel($O$2,$I$2,I20,IGPM)</f>
        <v>777.3</v>
      </c>
      <c r="P20" s="13">
        <f>P19+U19</f>
        <v>8539.875</v>
      </c>
      <c r="Q20" s="18">
        <f t="shared" si="1"/>
        <v>0.625</v>
      </c>
      <c r="R20" s="13">
        <f t="shared" si="2"/>
        <v>213.75749999999999</v>
      </c>
      <c r="S20" s="13">
        <f>O20*0.1</f>
        <v>77.73</v>
      </c>
      <c r="T20" s="13">
        <f t="shared" si="3"/>
        <v>291.48750000000001</v>
      </c>
      <c r="U20" s="13">
        <f>O20-R20-S20</f>
        <v>485.8125</v>
      </c>
      <c r="W20" s="20">
        <v>46692</v>
      </c>
      <c r="X20" s="22">
        <v>2027</v>
      </c>
      <c r="Y20" s="8" t="s">
        <v>6</v>
      </c>
      <c r="Z20" s="13">
        <f t="shared" si="6"/>
        <v>123939.55055262723</v>
      </c>
      <c r="AA20" s="13" cm="1">
        <f t="array" ref="AA20">rendimento_cdb(Z20,CDI,CDB)</f>
        <v>1486.6439183491952</v>
      </c>
      <c r="AB20" s="13" cm="1">
        <f t="array" ref="AB20">irpf_regressiva(AA20,0.15)</f>
        <v>222.99658500000001</v>
      </c>
      <c r="AC20" s="13">
        <v>0</v>
      </c>
      <c r="AD20" s="13">
        <f t="shared" si="7"/>
        <v>1263.6473333491952</v>
      </c>
      <c r="AF20" s="7">
        <v>46692</v>
      </c>
      <c r="AG20" s="22">
        <v>2027</v>
      </c>
    </row>
    <row r="21" spans="1:33" x14ac:dyDescent="0.25">
      <c r="A21" s="9">
        <v>46722</v>
      </c>
      <c r="B21" s="22">
        <v>2027</v>
      </c>
      <c r="C21" s="10" t="s">
        <v>19</v>
      </c>
      <c r="D21" s="15">
        <f t="shared" si="5"/>
        <v>113476.42168240907</v>
      </c>
      <c r="E21" s="13" cm="1">
        <f t="array" ref="E21">rendimento_poupanca(D21,selic,TR)</f>
        <v>757.58314767539434</v>
      </c>
      <c r="F21" s="15">
        <v>0</v>
      </c>
      <c r="G21" s="14">
        <f t="shared" si="0"/>
        <v>757.58314767539434</v>
      </c>
      <c r="I21" s="21">
        <v>46722</v>
      </c>
      <c r="J21" s="22">
        <v>2027</v>
      </c>
      <c r="K21" s="10" t="s">
        <v>17</v>
      </c>
      <c r="L21" s="15" cm="1">
        <f t="array" ref="L21">atualizar_imovel($L$2,$I$2,I21,IPCA)</f>
        <v>104099.99999999999</v>
      </c>
      <c r="M21" s="15"/>
      <c r="N21" s="15">
        <f t="shared" si="8"/>
        <v>14441.099999999995</v>
      </c>
      <c r="O21" s="15" cm="1">
        <f t="array" ref="O21">atualizar_aluguel($O$2,$I$2,I21,IGPM)</f>
        <v>777.3</v>
      </c>
      <c r="P21" s="15">
        <f>P20+U20</f>
        <v>9025.6875</v>
      </c>
      <c r="Q21" s="18">
        <f t="shared" si="1"/>
        <v>0.625</v>
      </c>
      <c r="R21" s="15">
        <f t="shared" si="2"/>
        <v>213.75749999999999</v>
      </c>
      <c r="S21" s="15">
        <f>O21*0.1</f>
        <v>77.73</v>
      </c>
      <c r="T21" s="13">
        <f t="shared" si="3"/>
        <v>291.48750000000001</v>
      </c>
      <c r="U21" s="15">
        <f>O21-R21-S21</f>
        <v>485.8125</v>
      </c>
      <c r="W21" s="21">
        <v>46722</v>
      </c>
      <c r="X21" s="22">
        <v>2027</v>
      </c>
      <c r="Y21" s="10" t="s">
        <v>6</v>
      </c>
      <c r="Z21" s="15">
        <f t="shared" si="6"/>
        <v>125426.19447097642</v>
      </c>
      <c r="AA21" s="15" cm="1">
        <f t="array" ref="AA21">rendimento_cdb(Z21,CDI,CDB)</f>
        <v>1504.4760800924532</v>
      </c>
      <c r="AB21" s="15" cm="1">
        <f t="array" ref="AB21">irpf_regressiva(AA21,0.15)</f>
        <v>225.671415</v>
      </c>
      <c r="AC21" s="15">
        <v>0</v>
      </c>
      <c r="AD21" s="15">
        <f t="shared" si="7"/>
        <v>1278.8046650924532</v>
      </c>
      <c r="AF21" s="9">
        <v>46722</v>
      </c>
      <c r="AG21" s="22">
        <v>2027</v>
      </c>
    </row>
    <row r="22" spans="1:33" x14ac:dyDescent="0.25">
      <c r="A22" s="7">
        <v>46753</v>
      </c>
      <c r="B22" s="22">
        <v>2028</v>
      </c>
      <c r="C22" s="8" t="s">
        <v>19</v>
      </c>
      <c r="D22" s="13">
        <f t="shared" si="5"/>
        <v>114234.00483008446</v>
      </c>
      <c r="E22" s="13" cm="1">
        <f t="array" ref="E22">rendimento_poupanca(D22,selic,TR)</f>
        <v>762.64086963142313</v>
      </c>
      <c r="F22" s="13">
        <v>0</v>
      </c>
      <c r="G22" s="14">
        <f t="shared" si="0"/>
        <v>762.64086963142313</v>
      </c>
      <c r="I22" s="20">
        <v>46753</v>
      </c>
      <c r="J22" s="22">
        <v>2028</v>
      </c>
      <c r="K22" s="8" t="s">
        <v>17</v>
      </c>
      <c r="L22" s="13" cm="1">
        <f t="array" ref="L22">atualizar_imovel($L$2,$I$2,I22,IPCA)</f>
        <v>104099.99999999999</v>
      </c>
      <c r="M22" s="13"/>
      <c r="N22" s="13">
        <f t="shared" si="8"/>
        <v>15218.399999999994</v>
      </c>
      <c r="O22" s="13" cm="1">
        <f t="array" ref="O22">atualizar_aluguel($O$2,$I$2,I22,IGPM)</f>
        <v>777.3</v>
      </c>
      <c r="P22" s="13">
        <f>P21+U21</f>
        <v>9511.5</v>
      </c>
      <c r="Q22" s="18">
        <f t="shared" si="1"/>
        <v>0.625</v>
      </c>
      <c r="R22" s="13">
        <f t="shared" si="2"/>
        <v>213.75749999999999</v>
      </c>
      <c r="S22" s="13">
        <f>O22*0.1</f>
        <v>77.73</v>
      </c>
      <c r="T22" s="13">
        <f t="shared" si="3"/>
        <v>291.48750000000001</v>
      </c>
      <c r="U22" s="13">
        <f>O22-R22-S22</f>
        <v>485.8125</v>
      </c>
      <c r="W22" s="20">
        <v>46753</v>
      </c>
      <c r="X22" s="22">
        <v>2028</v>
      </c>
      <c r="Y22" s="8" t="s">
        <v>6</v>
      </c>
      <c r="Z22" s="13">
        <f t="shared" si="6"/>
        <v>126930.67055106888</v>
      </c>
      <c r="AA22" s="13" cm="1">
        <f t="array" ref="AA22">rendimento_cdb(Z22,CDI,CDB)</f>
        <v>1522.5221374933321</v>
      </c>
      <c r="AB22" s="13" cm="1">
        <f t="array" ref="AB22">irpf_regressiva(AA22,0.15)</f>
        <v>228.37831499999999</v>
      </c>
      <c r="AC22" s="13">
        <v>0</v>
      </c>
      <c r="AD22" s="13">
        <f t="shared" si="7"/>
        <v>1294.1438224933322</v>
      </c>
      <c r="AF22" s="7">
        <v>46753</v>
      </c>
      <c r="AG22" s="22">
        <v>2028</v>
      </c>
    </row>
    <row r="23" spans="1:33" x14ac:dyDescent="0.25">
      <c r="A23" s="9">
        <v>46784</v>
      </c>
      <c r="B23" s="22">
        <v>2028</v>
      </c>
      <c r="C23" s="10" t="s">
        <v>19</v>
      </c>
      <c r="D23" s="15">
        <f t="shared" si="5"/>
        <v>114996.64569971588</v>
      </c>
      <c r="E23" s="13" cm="1">
        <f t="array" ref="E23">rendimento_poupanca(D23,selic,TR)</f>
        <v>767.73235810905101</v>
      </c>
      <c r="F23" s="15">
        <v>0</v>
      </c>
      <c r="G23" s="14">
        <f t="shared" si="0"/>
        <v>767.73235810905101</v>
      </c>
      <c r="I23" s="21">
        <v>46784</v>
      </c>
      <c r="J23" s="22">
        <v>2028</v>
      </c>
      <c r="K23" s="10" t="s">
        <v>17</v>
      </c>
      <c r="L23" s="15" cm="1">
        <f t="array" ref="L23">atualizar_imovel($L$2,$I$2,I23,IPCA)</f>
        <v>104099.99999999999</v>
      </c>
      <c r="M23" s="15"/>
      <c r="N23" s="15">
        <f t="shared" si="8"/>
        <v>15995.699999999993</v>
      </c>
      <c r="O23" s="15" cm="1">
        <f t="array" ref="O23">atualizar_aluguel($O$2,$I$2,I23,IGPM)</f>
        <v>777.3</v>
      </c>
      <c r="P23" s="15">
        <f>P22+U22</f>
        <v>9997.3125</v>
      </c>
      <c r="Q23" s="18">
        <f t="shared" si="1"/>
        <v>0.625</v>
      </c>
      <c r="R23" s="15">
        <f t="shared" si="2"/>
        <v>213.75749999999999</v>
      </c>
      <c r="S23" s="15">
        <f>O23*0.1</f>
        <v>77.73</v>
      </c>
      <c r="T23" s="13">
        <f t="shared" si="3"/>
        <v>291.48750000000001</v>
      </c>
      <c r="U23" s="15">
        <f>O23-R23-S23</f>
        <v>485.8125</v>
      </c>
      <c r="W23" s="21">
        <v>46784</v>
      </c>
      <c r="X23" s="22">
        <v>2028</v>
      </c>
      <c r="Y23" s="10" t="s">
        <v>6</v>
      </c>
      <c r="Z23" s="15">
        <f t="shared" si="6"/>
        <v>128453.19268856221</v>
      </c>
      <c r="AA23" s="15" cm="1">
        <f t="array" ref="AA23">rendimento_cdb(Z23,CDI,CDB)</f>
        <v>1540.7846550638715</v>
      </c>
      <c r="AB23" s="15" cm="1">
        <f t="array" ref="AB23">irpf_regressiva(AA23,0.15)</f>
        <v>231.11770499999997</v>
      </c>
      <c r="AC23" s="15">
        <v>0</v>
      </c>
      <c r="AD23" s="15">
        <f t="shared" si="7"/>
        <v>1309.6669500638716</v>
      </c>
      <c r="AF23" s="9">
        <v>46784</v>
      </c>
      <c r="AG23" s="22">
        <v>2028</v>
      </c>
    </row>
    <row r="24" spans="1:33" x14ac:dyDescent="0.25">
      <c r="A24" s="7">
        <v>46813</v>
      </c>
      <c r="B24" s="22">
        <v>2028</v>
      </c>
      <c r="C24" s="8" t="s">
        <v>19</v>
      </c>
      <c r="D24" s="13">
        <f t="shared" si="5"/>
        <v>115764.37805782493</v>
      </c>
      <c r="E24" s="13" cm="1">
        <f t="array" ref="E24">rendimento_poupanca(D24,selic,TR)</f>
        <v>772.85783809380098</v>
      </c>
      <c r="F24" s="13">
        <v>0</v>
      </c>
      <c r="G24" s="14">
        <f t="shared" si="0"/>
        <v>772.85783809380098</v>
      </c>
      <c r="I24" s="20">
        <v>46813</v>
      </c>
      <c r="J24" s="22">
        <v>2028</v>
      </c>
      <c r="K24" s="8" t="s">
        <v>17</v>
      </c>
      <c r="L24" s="13" cm="1">
        <f t="array" ref="L24">atualizar_imovel($L$2,$I$2,I24,IPCA)</f>
        <v>104099.99999999999</v>
      </c>
      <c r="M24" s="13"/>
      <c r="N24" s="13">
        <f t="shared" si="8"/>
        <v>16772.999999999993</v>
      </c>
      <c r="O24" s="13" cm="1">
        <f t="array" ref="O24">atualizar_aluguel($O$2,$I$2,I24,IGPM)</f>
        <v>777.3</v>
      </c>
      <c r="P24" s="13">
        <f>P23+U23</f>
        <v>10483.125</v>
      </c>
      <c r="Q24" s="18">
        <f t="shared" si="1"/>
        <v>0.625</v>
      </c>
      <c r="R24" s="13">
        <f t="shared" si="2"/>
        <v>213.75749999999999</v>
      </c>
      <c r="S24" s="13">
        <f>O24*0.1</f>
        <v>77.73</v>
      </c>
      <c r="T24" s="13">
        <f t="shared" si="3"/>
        <v>291.48750000000001</v>
      </c>
      <c r="U24" s="13">
        <f>O24-R24-S24</f>
        <v>485.8125</v>
      </c>
      <c r="W24" s="20">
        <v>46813</v>
      </c>
      <c r="X24" s="22">
        <v>2028</v>
      </c>
      <c r="Y24" s="8" t="s">
        <v>6</v>
      </c>
      <c r="Z24" s="13">
        <f t="shared" si="6"/>
        <v>129993.97734362609</v>
      </c>
      <c r="AA24" s="13" cm="1">
        <f t="array" ref="AA24">rendimento_cdb(Z24,CDI,CDB)</f>
        <v>1559.2662297023717</v>
      </c>
      <c r="AB24" s="13" cm="1">
        <f t="array" ref="AB24">irpf_regressiva(AA24,0.15)</f>
        <v>233.88992999999999</v>
      </c>
      <c r="AC24" s="13">
        <v>0</v>
      </c>
      <c r="AD24" s="13">
        <f t="shared" si="7"/>
        <v>1325.3762997023716</v>
      </c>
      <c r="AF24" s="7">
        <v>46813</v>
      </c>
      <c r="AG24" s="22">
        <v>2028</v>
      </c>
    </row>
    <row r="25" spans="1:33" x14ac:dyDescent="0.25">
      <c r="A25" s="9">
        <v>46844</v>
      </c>
      <c r="B25" s="22">
        <v>2028</v>
      </c>
      <c r="C25" s="10" t="s">
        <v>19</v>
      </c>
      <c r="D25" s="15">
        <f t="shared" si="5"/>
        <v>116537.23589591873</v>
      </c>
      <c r="E25" s="13" cm="1">
        <f t="array" ref="E25">rendimento_poupanca(D25,selic,TR)</f>
        <v>778.01753590642136</v>
      </c>
      <c r="F25" s="15">
        <v>0</v>
      </c>
      <c r="G25" s="14">
        <f t="shared" si="0"/>
        <v>778.01753590642136</v>
      </c>
      <c r="I25" s="21">
        <v>46844</v>
      </c>
      <c r="J25" s="22">
        <v>2028</v>
      </c>
      <c r="K25" s="10" t="s">
        <v>17</v>
      </c>
      <c r="L25" s="15" cm="1">
        <f t="array" ref="L25">atualizar_imovel($L$2,$I$2,I25,IPCA)</f>
        <v>104099.99999999999</v>
      </c>
      <c r="M25" s="15"/>
      <c r="N25" s="15">
        <f t="shared" si="8"/>
        <v>17550.299999999992</v>
      </c>
      <c r="O25" s="15" cm="1">
        <f t="array" ref="O25">atualizar_aluguel($O$2,$I$2,I25,IGPM)</f>
        <v>777.3</v>
      </c>
      <c r="P25" s="15">
        <f>P24+U24</f>
        <v>10968.9375</v>
      </c>
      <c r="Q25" s="18">
        <f t="shared" si="1"/>
        <v>0.625</v>
      </c>
      <c r="R25" s="15">
        <f t="shared" si="2"/>
        <v>213.75749999999999</v>
      </c>
      <c r="S25" s="15">
        <f>O25*0.1</f>
        <v>77.73</v>
      </c>
      <c r="T25" s="13">
        <f t="shared" si="3"/>
        <v>291.48750000000001</v>
      </c>
      <c r="U25" s="15">
        <f>O25-R25-S25</f>
        <v>485.8125</v>
      </c>
      <c r="W25" s="21">
        <v>46844</v>
      </c>
      <c r="X25" s="22">
        <v>2028</v>
      </c>
      <c r="Y25" s="10" t="s">
        <v>6</v>
      </c>
      <c r="Z25" s="15">
        <f t="shared" si="6"/>
        <v>131553.24357332845</v>
      </c>
      <c r="AA25" s="15" cm="1">
        <f t="array" ref="AA25">rendimento_cdb(Z25,CDI,CDB)</f>
        <v>1577.9694906933942</v>
      </c>
      <c r="AB25" s="15" cm="1">
        <f t="array" ref="AB25">irpf_regressiva(AA25,0.15)</f>
        <v>236.69542499999997</v>
      </c>
      <c r="AC25" s="15">
        <v>0</v>
      </c>
      <c r="AD25" s="15">
        <f t="shared" si="7"/>
        <v>1341.2740656933943</v>
      </c>
      <c r="AF25" s="9">
        <v>46844</v>
      </c>
      <c r="AG25" s="22">
        <v>2028</v>
      </c>
    </row>
    <row r="26" spans="1:33" x14ac:dyDescent="0.25">
      <c r="A26" s="7">
        <v>46874</v>
      </c>
      <c r="B26" s="22">
        <v>2028</v>
      </c>
      <c r="C26" s="8" t="s">
        <v>19</v>
      </c>
      <c r="D26" s="13">
        <f t="shared" si="5"/>
        <v>117315.25343182514</v>
      </c>
      <c r="E26" s="13" cm="1">
        <f t="array" ref="E26">rendimento_poupanca(D26,selic,TR)</f>
        <v>783.2116805381122</v>
      </c>
      <c r="F26" s="13">
        <v>0</v>
      </c>
      <c r="G26" s="14">
        <f t="shared" si="0"/>
        <v>783.2116805381122</v>
      </c>
      <c r="I26" s="20">
        <v>46874</v>
      </c>
      <c r="J26" s="22">
        <v>2028</v>
      </c>
      <c r="K26" s="8" t="s">
        <v>17</v>
      </c>
      <c r="L26" s="13" cm="1">
        <f t="array" ref="L26">atualizar_imovel($L$2,$I$2,I26,IPCA)</f>
        <v>108368.09999999998</v>
      </c>
      <c r="M26" s="13">
        <f>O26</f>
        <v>805.59371999999996</v>
      </c>
      <c r="N26" s="13">
        <f t="shared" si="8"/>
        <v>18327.599999999991</v>
      </c>
      <c r="O26" s="13" cm="1">
        <f t="array" ref="O26">atualizar_aluguel($O$2,$I$2,I26,IGPM)</f>
        <v>805.59371999999996</v>
      </c>
      <c r="P26" s="13">
        <f>P25+U25</f>
        <v>11454.75</v>
      </c>
      <c r="Q26" s="18">
        <f t="shared" si="1"/>
        <v>0.625</v>
      </c>
      <c r="R26" s="13">
        <f t="shared" si="2"/>
        <v>221.538273</v>
      </c>
      <c r="S26" s="13">
        <f>O26*0.1</f>
        <v>80.559371999999996</v>
      </c>
      <c r="T26" s="13">
        <f t="shared" si="3"/>
        <v>302.097645</v>
      </c>
      <c r="U26" s="13">
        <f>O26-R26-S26</f>
        <v>503.49607499999996</v>
      </c>
      <c r="W26" s="20">
        <v>46874</v>
      </c>
      <c r="X26" s="22">
        <v>2028</v>
      </c>
      <c r="Y26" s="8" t="s">
        <v>6</v>
      </c>
      <c r="Z26" s="13">
        <f t="shared" si="6"/>
        <v>133131.21306402184</v>
      </c>
      <c r="AA26" s="13" cm="1">
        <f t="array" ref="AA26">rendimento_cdb(Z26,CDI,CDB)</f>
        <v>1596.8970949097961</v>
      </c>
      <c r="AB26" s="13" cm="1">
        <f t="array" ref="AB26">irpf_regressiva(AA26,0.15)</f>
        <v>239.53456499999999</v>
      </c>
      <c r="AC26" s="13">
        <v>0</v>
      </c>
      <c r="AD26" s="13">
        <f t="shared" si="7"/>
        <v>1357.3625299097962</v>
      </c>
      <c r="AF26" s="7">
        <v>46874</v>
      </c>
      <c r="AG26" s="22">
        <v>2028</v>
      </c>
    </row>
    <row r="27" spans="1:33" x14ac:dyDescent="0.25">
      <c r="A27" s="9">
        <v>46905</v>
      </c>
      <c r="B27" s="22">
        <v>2028</v>
      </c>
      <c r="C27" s="10" t="s">
        <v>19</v>
      </c>
      <c r="D27" s="15">
        <f t="shared" si="5"/>
        <v>118098.46511236325</v>
      </c>
      <c r="E27" s="13" cm="1">
        <f t="array" ref="E27">rendimento_poupanca(D27,selic,TR)</f>
        <v>788.440502315299</v>
      </c>
      <c r="F27" s="15">
        <v>0</v>
      </c>
      <c r="G27" s="14">
        <f t="shared" si="0"/>
        <v>788.440502315299</v>
      </c>
      <c r="I27" s="21">
        <v>46905</v>
      </c>
      <c r="J27" s="22">
        <v>2028</v>
      </c>
      <c r="K27" s="10" t="s">
        <v>17</v>
      </c>
      <c r="L27" s="15" cm="1">
        <f t="array" ref="L27">atualizar_imovel($L$2,$I$2,I27,IPCA)</f>
        <v>108368.09999999998</v>
      </c>
      <c r="M27" s="15"/>
      <c r="N27" s="15">
        <f t="shared" si="8"/>
        <v>19133.193719999992</v>
      </c>
      <c r="O27" s="15" cm="1">
        <f t="array" ref="O27">atualizar_aluguel($O$2,$I$2,I27,IGPM)</f>
        <v>805.59371999999996</v>
      </c>
      <c r="P27" s="15">
        <f>P26+U26</f>
        <v>11958.246074999999</v>
      </c>
      <c r="Q27" s="18">
        <f t="shared" si="1"/>
        <v>0.625</v>
      </c>
      <c r="R27" s="15">
        <f t="shared" si="2"/>
        <v>221.538273</v>
      </c>
      <c r="S27" s="15">
        <f>O27*0.1</f>
        <v>80.559371999999996</v>
      </c>
      <c r="T27" s="13">
        <f t="shared" si="3"/>
        <v>302.097645</v>
      </c>
      <c r="U27" s="15">
        <f>O27-R27-S27</f>
        <v>503.49607499999996</v>
      </c>
      <c r="W27" s="21">
        <v>46905</v>
      </c>
      <c r="X27" s="22">
        <v>2028</v>
      </c>
      <c r="Y27" s="10" t="s">
        <v>6</v>
      </c>
      <c r="Z27" s="15">
        <f t="shared" si="6"/>
        <v>134728.11015893164</v>
      </c>
      <c r="AA27" s="15" cm="1">
        <f t="array" ref="AA27">rendimento_cdb(Z27,CDI,CDB)</f>
        <v>1616.0517340096774</v>
      </c>
      <c r="AB27" s="15" cm="1">
        <f t="array" ref="AB27">irpf_regressiva(AA27,0.15)</f>
        <v>242.40775499999998</v>
      </c>
      <c r="AC27" s="15">
        <v>0</v>
      </c>
      <c r="AD27" s="15">
        <f t="shared" si="7"/>
        <v>1373.6439790096774</v>
      </c>
      <c r="AF27" s="9">
        <v>46905</v>
      </c>
      <c r="AG27" s="22">
        <v>2028</v>
      </c>
    </row>
    <row r="28" spans="1:33" x14ac:dyDescent="0.25">
      <c r="A28" s="7">
        <v>46935</v>
      </c>
      <c r="B28" s="22">
        <v>2028</v>
      </c>
      <c r="C28" s="8" t="s">
        <v>19</v>
      </c>
      <c r="D28" s="13">
        <f t="shared" si="5"/>
        <v>118886.90561467854</v>
      </c>
      <c r="E28" s="13" cm="1">
        <f t="array" ref="E28">rendimento_poupanca(D28,selic,TR)</f>
        <v>793.70423223202022</v>
      </c>
      <c r="F28" s="13">
        <v>0</v>
      </c>
      <c r="G28" s="14">
        <f t="shared" si="0"/>
        <v>793.70423223202022</v>
      </c>
      <c r="I28" s="20">
        <v>46935</v>
      </c>
      <c r="J28" s="22">
        <v>2028</v>
      </c>
      <c r="K28" s="8" t="s">
        <v>17</v>
      </c>
      <c r="L28" s="13" cm="1">
        <f t="array" ref="L28">atualizar_imovel($L$2,$I$2,I28,IPCA)</f>
        <v>108368.09999999998</v>
      </c>
      <c r="M28" s="13"/>
      <c r="N28" s="13">
        <f t="shared" si="8"/>
        <v>19938.787439999993</v>
      </c>
      <c r="O28" s="13" cm="1">
        <f t="array" ref="O28">atualizar_aluguel($O$2,$I$2,I28,IGPM)</f>
        <v>805.59371999999996</v>
      </c>
      <c r="P28" s="13">
        <f>P27+U27</f>
        <v>12461.742149999998</v>
      </c>
      <c r="Q28" s="18">
        <f t="shared" si="1"/>
        <v>0.625</v>
      </c>
      <c r="R28" s="13">
        <f t="shared" si="2"/>
        <v>221.538273</v>
      </c>
      <c r="S28" s="13">
        <f>O28*0.1</f>
        <v>80.559371999999996</v>
      </c>
      <c r="T28" s="13">
        <f t="shared" si="3"/>
        <v>302.097645</v>
      </c>
      <c r="U28" s="13">
        <f>O28-R28-S28</f>
        <v>503.49607499999996</v>
      </c>
      <c r="W28" s="20">
        <v>46935</v>
      </c>
      <c r="X28" s="22">
        <v>2028</v>
      </c>
      <c r="Y28" s="8" t="s">
        <v>6</v>
      </c>
      <c r="Z28" s="13">
        <f t="shared" si="6"/>
        <v>136344.16189294131</v>
      </c>
      <c r="AA28" s="13" cm="1">
        <f t="array" ref="AA28">rendimento_cdb(Z28,CDI,CDB)</f>
        <v>1635.4361308379075</v>
      </c>
      <c r="AB28" s="13" cm="1">
        <f t="array" ref="AB28">irpf_regressiva(AA28,0.15)</f>
        <v>245.31541499999997</v>
      </c>
      <c r="AC28" s="13">
        <v>0</v>
      </c>
      <c r="AD28" s="13">
        <f t="shared" si="7"/>
        <v>1390.1207158379075</v>
      </c>
      <c r="AF28" s="7">
        <v>46935</v>
      </c>
      <c r="AG28" s="22">
        <v>2028</v>
      </c>
    </row>
    <row r="29" spans="1:33" x14ac:dyDescent="0.25">
      <c r="A29" s="9">
        <v>46966</v>
      </c>
      <c r="B29" s="22">
        <v>2028</v>
      </c>
      <c r="C29" s="10" t="s">
        <v>19</v>
      </c>
      <c r="D29" s="15">
        <f t="shared" si="5"/>
        <v>119680.60984691056</v>
      </c>
      <c r="E29" s="13" cm="1">
        <f t="array" ref="E29">rendimento_poupanca(D29,selic,TR)</f>
        <v>799.00310328515275</v>
      </c>
      <c r="F29" s="15">
        <v>0</v>
      </c>
      <c r="G29" s="14">
        <f t="shared" si="0"/>
        <v>799.00310328515275</v>
      </c>
      <c r="I29" s="21">
        <v>46966</v>
      </c>
      <c r="J29" s="22">
        <v>2028</v>
      </c>
      <c r="K29" s="10" t="s">
        <v>17</v>
      </c>
      <c r="L29" s="15" cm="1">
        <f t="array" ref="L29">atualizar_imovel($L$2,$I$2,I29,IPCA)</f>
        <v>108368.09999999998</v>
      </c>
      <c r="M29" s="15"/>
      <c r="N29" s="15">
        <f t="shared" si="8"/>
        <v>20744.381159999994</v>
      </c>
      <c r="O29" s="15" cm="1">
        <f t="array" ref="O29">atualizar_aluguel($O$2,$I$2,I29,IGPM)</f>
        <v>805.59371999999996</v>
      </c>
      <c r="P29" s="15">
        <f>P28+U28</f>
        <v>12965.238224999997</v>
      </c>
      <c r="Q29" s="18">
        <f t="shared" si="1"/>
        <v>0.625</v>
      </c>
      <c r="R29" s="15">
        <f t="shared" si="2"/>
        <v>221.538273</v>
      </c>
      <c r="S29" s="15">
        <f>O29*0.1</f>
        <v>80.559371999999996</v>
      </c>
      <c r="T29" s="13">
        <f t="shared" si="3"/>
        <v>302.097645</v>
      </c>
      <c r="U29" s="15">
        <f>O29-R29-S29</f>
        <v>503.49607499999996</v>
      </c>
      <c r="W29" s="21">
        <v>46966</v>
      </c>
      <c r="X29" s="22">
        <v>2028</v>
      </c>
      <c r="Y29" s="10" t="s">
        <v>6</v>
      </c>
      <c r="Z29" s="15">
        <f t="shared" si="6"/>
        <v>137979.59802377922</v>
      </c>
      <c r="AA29" s="15" cm="1">
        <f t="array" ref="AA29">rendimento_cdb(Z29,CDI,CDB)</f>
        <v>1655.0530418251071</v>
      </c>
      <c r="AB29" s="15" cm="1">
        <f t="array" ref="AB29">irpf_regressiva(AA29,0.15)</f>
        <v>248.25794999999999</v>
      </c>
      <c r="AC29" s="15">
        <v>0</v>
      </c>
      <c r="AD29" s="15">
        <f t="shared" si="7"/>
        <v>1406.7950918251072</v>
      </c>
      <c r="AF29" s="9">
        <v>46966</v>
      </c>
      <c r="AG29" s="22">
        <v>2028</v>
      </c>
    </row>
    <row r="30" spans="1:33" x14ac:dyDescent="0.25">
      <c r="A30" s="7">
        <v>46997</v>
      </c>
      <c r="B30" s="22">
        <v>2028</v>
      </c>
      <c r="C30" s="8" t="s">
        <v>19</v>
      </c>
      <c r="D30" s="13">
        <f t="shared" si="5"/>
        <v>120479.61295019572</v>
      </c>
      <c r="E30" s="13" cm="1">
        <f t="array" ref="E30">rendimento_poupanca(D30,selic,TR)</f>
        <v>804.33735114202454</v>
      </c>
      <c r="F30" s="13">
        <v>0</v>
      </c>
      <c r="G30" s="14">
        <f t="shared" si="0"/>
        <v>804.33735114202454</v>
      </c>
      <c r="I30" s="20">
        <v>46997</v>
      </c>
      <c r="J30" s="22">
        <v>2028</v>
      </c>
      <c r="K30" s="8" t="s">
        <v>17</v>
      </c>
      <c r="L30" s="13" cm="1">
        <f t="array" ref="L30">atualizar_imovel($L$2,$I$2,I30,IPCA)</f>
        <v>108368.09999999998</v>
      </c>
      <c r="M30" s="13"/>
      <c r="N30" s="13">
        <f t="shared" si="8"/>
        <v>21549.974879999994</v>
      </c>
      <c r="O30" s="13" cm="1">
        <f t="array" ref="O30">atualizar_aluguel($O$2,$I$2,I30,IGPM)</f>
        <v>805.59371999999996</v>
      </c>
      <c r="P30" s="13">
        <f>P29+U29</f>
        <v>13468.734299999996</v>
      </c>
      <c r="Q30" s="18">
        <f t="shared" si="1"/>
        <v>0.625</v>
      </c>
      <c r="R30" s="13">
        <f t="shared" si="2"/>
        <v>221.538273</v>
      </c>
      <c r="S30" s="13">
        <f>O30*0.1</f>
        <v>80.559371999999996</v>
      </c>
      <c r="T30" s="13">
        <f t="shared" si="3"/>
        <v>302.097645</v>
      </c>
      <c r="U30" s="13">
        <f>O30-R30-S30</f>
        <v>503.49607499999996</v>
      </c>
      <c r="W30" s="20">
        <v>46997</v>
      </c>
      <c r="X30" s="22">
        <v>2028</v>
      </c>
      <c r="Y30" s="8" t="s">
        <v>6</v>
      </c>
      <c r="Z30" s="13">
        <f t="shared" si="6"/>
        <v>139634.65106560432</v>
      </c>
      <c r="AA30" s="13" cm="1">
        <f t="array" ref="AA30">rendimento_cdb(Z30,CDI,CDB)</f>
        <v>1674.9052569876492</v>
      </c>
      <c r="AB30" s="13" cm="1">
        <f t="array" ref="AB30">irpf_regressiva(AA30,0.15)</f>
        <v>251.23579499999997</v>
      </c>
      <c r="AC30" s="13">
        <v>0</v>
      </c>
      <c r="AD30" s="13">
        <f t="shared" si="7"/>
        <v>1423.6694619876491</v>
      </c>
      <c r="AF30" s="7">
        <v>46997</v>
      </c>
      <c r="AG30" s="22">
        <v>2028</v>
      </c>
    </row>
    <row r="31" spans="1:33" x14ac:dyDescent="0.25">
      <c r="A31" s="9">
        <v>47027</v>
      </c>
      <c r="B31" s="22">
        <v>2028</v>
      </c>
      <c r="C31" s="10" t="s">
        <v>19</v>
      </c>
      <c r="D31" s="15">
        <f t="shared" si="5"/>
        <v>121283.95030133774</v>
      </c>
      <c r="E31" s="13" cm="1">
        <f t="array" ref="E31">rendimento_poupanca(D31,selic,TR)</f>
        <v>809.70721013473826</v>
      </c>
      <c r="F31" s="15">
        <v>0</v>
      </c>
      <c r="G31" s="14">
        <f t="shared" si="0"/>
        <v>809.70721013473826</v>
      </c>
      <c r="I31" s="21">
        <v>47027</v>
      </c>
      <c r="J31" s="22">
        <v>2028</v>
      </c>
      <c r="K31" s="10" t="s">
        <v>17</v>
      </c>
      <c r="L31" s="15" cm="1">
        <f t="array" ref="L31">atualizar_imovel($L$2,$I$2,I31,IPCA)</f>
        <v>108368.09999999998</v>
      </c>
      <c r="M31" s="15"/>
      <c r="N31" s="15">
        <f t="shared" si="8"/>
        <v>22355.568599999995</v>
      </c>
      <c r="O31" s="15" cm="1">
        <f t="array" ref="O31">atualizar_aluguel($O$2,$I$2,I31,IGPM)</f>
        <v>805.59371999999996</v>
      </c>
      <c r="P31" s="15">
        <f>P30+U30</f>
        <v>13972.230374999996</v>
      </c>
      <c r="Q31" s="18">
        <f t="shared" si="1"/>
        <v>0.625</v>
      </c>
      <c r="R31" s="15">
        <f t="shared" si="2"/>
        <v>221.538273</v>
      </c>
      <c r="S31" s="15">
        <f>O31*0.1</f>
        <v>80.559371999999996</v>
      </c>
      <c r="T31" s="13">
        <f t="shared" si="3"/>
        <v>302.097645</v>
      </c>
      <c r="U31" s="15">
        <f>O31-R31-S31</f>
        <v>503.49607499999996</v>
      </c>
      <c r="W31" s="21">
        <v>47027</v>
      </c>
      <c r="X31" s="22">
        <v>2028</v>
      </c>
      <c r="Y31" s="10" t="s">
        <v>6</v>
      </c>
      <c r="Z31" s="15">
        <f t="shared" si="6"/>
        <v>141309.55632259196</v>
      </c>
      <c r="AA31" s="15" cm="1">
        <f t="array" ref="AA31">rendimento_cdb(Z31,CDI,CDB)</f>
        <v>1694.995596329185</v>
      </c>
      <c r="AB31" s="15" cm="1">
        <f t="array" ref="AB31">irpf_regressiva(AA31,0.15)</f>
        <v>254.24933999999999</v>
      </c>
      <c r="AC31" s="15">
        <v>0</v>
      </c>
      <c r="AD31" s="15">
        <f t="shared" si="7"/>
        <v>1440.7462563291849</v>
      </c>
      <c r="AF31" s="9">
        <v>47027</v>
      </c>
      <c r="AG31" s="22">
        <v>2028</v>
      </c>
    </row>
    <row r="32" spans="1:33" x14ac:dyDescent="0.25">
      <c r="A32" s="7">
        <v>47058</v>
      </c>
      <c r="B32" s="22">
        <v>2028</v>
      </c>
      <c r="C32" s="8" t="s">
        <v>19</v>
      </c>
      <c r="D32" s="13">
        <f t="shared" si="5"/>
        <v>122093.65751147248</v>
      </c>
      <c r="E32" s="13" cm="1">
        <f t="array" ref="E32">rendimento_poupanca(D32,selic,TR)</f>
        <v>815.11291926868637</v>
      </c>
      <c r="F32" s="13">
        <v>0</v>
      </c>
      <c r="G32" s="14">
        <f t="shared" si="0"/>
        <v>815.11291926868637</v>
      </c>
      <c r="I32" s="20">
        <v>47058</v>
      </c>
      <c r="J32" s="22">
        <v>2028</v>
      </c>
      <c r="K32" s="8" t="s">
        <v>17</v>
      </c>
      <c r="L32" s="13" cm="1">
        <f t="array" ref="L32">atualizar_imovel($L$2,$I$2,I32,IPCA)</f>
        <v>108368.09999999998</v>
      </c>
      <c r="M32" s="13"/>
      <c r="N32" s="13">
        <f t="shared" si="8"/>
        <v>23161.162319999996</v>
      </c>
      <c r="O32" s="13" cm="1">
        <f t="array" ref="O32">atualizar_aluguel($O$2,$I$2,I32,IGPM)</f>
        <v>805.59371999999996</v>
      </c>
      <c r="P32" s="13">
        <f>P31+U31</f>
        <v>14475.726449999995</v>
      </c>
      <c r="Q32" s="18">
        <f t="shared" si="1"/>
        <v>0.625</v>
      </c>
      <c r="R32" s="13">
        <f t="shared" si="2"/>
        <v>221.538273</v>
      </c>
      <c r="S32" s="13">
        <f>O32*0.1</f>
        <v>80.559371999999996</v>
      </c>
      <c r="T32" s="13">
        <f t="shared" si="3"/>
        <v>302.097645</v>
      </c>
      <c r="U32" s="13">
        <f>O32-R32-S32</f>
        <v>503.49607499999996</v>
      </c>
      <c r="W32" s="20">
        <v>47058</v>
      </c>
      <c r="X32" s="22">
        <v>2028</v>
      </c>
      <c r="Y32" s="8" t="s">
        <v>6</v>
      </c>
      <c r="Z32" s="13">
        <f t="shared" si="6"/>
        <v>143004.55191892115</v>
      </c>
      <c r="AA32" s="13" cm="1">
        <f t="array" ref="AA32">rendimento_cdb(Z32,CDI,CDB)</f>
        <v>1715.3269182370816</v>
      </c>
      <c r="AB32" s="13" cm="1">
        <f t="array" ref="AB32">irpf_regressiva(AA32,0.15)</f>
        <v>257.299035</v>
      </c>
      <c r="AC32" s="13">
        <v>0</v>
      </c>
      <c r="AD32" s="13">
        <f t="shared" si="7"/>
        <v>1458.0278832370816</v>
      </c>
      <c r="AF32" s="7">
        <v>47058</v>
      </c>
      <c r="AG32" s="22">
        <v>2028</v>
      </c>
    </row>
    <row r="33" spans="1:33" x14ac:dyDescent="0.25">
      <c r="A33" s="9">
        <v>47088</v>
      </c>
      <c r="B33" s="22">
        <v>2028</v>
      </c>
      <c r="C33" s="10" t="s">
        <v>19</v>
      </c>
      <c r="D33" s="15">
        <f t="shared" si="5"/>
        <v>122908.77043074118</v>
      </c>
      <c r="E33" s="13" cm="1">
        <f t="array" ref="E33">rendimento_poupanca(D33,selic,TR)</f>
        <v>820.55471754926089</v>
      </c>
      <c r="F33" s="15">
        <v>0</v>
      </c>
      <c r="G33" s="14">
        <f t="shared" si="0"/>
        <v>820.55471754926089</v>
      </c>
      <c r="I33" s="21">
        <v>47088</v>
      </c>
      <c r="J33" s="22">
        <v>2028</v>
      </c>
      <c r="K33" s="10" t="s">
        <v>17</v>
      </c>
      <c r="L33" s="15" cm="1">
        <f t="array" ref="L33">atualizar_imovel($L$2,$I$2,I33,IPCA)</f>
        <v>108368.09999999998</v>
      </c>
      <c r="M33" s="15"/>
      <c r="N33" s="15">
        <f t="shared" si="8"/>
        <v>23966.756039999997</v>
      </c>
      <c r="O33" s="15" cm="1">
        <f t="array" ref="O33">atualizar_aluguel($O$2,$I$2,I33,IGPM)</f>
        <v>805.59371999999996</v>
      </c>
      <c r="P33" s="15">
        <f>P32+U32</f>
        <v>14979.222524999994</v>
      </c>
      <c r="Q33" s="18">
        <f t="shared" si="1"/>
        <v>0.625</v>
      </c>
      <c r="R33" s="15">
        <f t="shared" si="2"/>
        <v>221.538273</v>
      </c>
      <c r="S33" s="15">
        <f>O33*0.1</f>
        <v>80.559371999999996</v>
      </c>
      <c r="T33" s="13">
        <f t="shared" si="3"/>
        <v>302.097645</v>
      </c>
      <c r="U33" s="15">
        <f>O33-R33-S33</f>
        <v>503.49607499999996</v>
      </c>
      <c r="W33" s="21">
        <v>47088</v>
      </c>
      <c r="X33" s="22">
        <v>2028</v>
      </c>
      <c r="Y33" s="10" t="s">
        <v>6</v>
      </c>
      <c r="Z33" s="15">
        <f t="shared" si="6"/>
        <v>144719.87883715823</v>
      </c>
      <c r="AA33" s="15" cm="1">
        <f t="array" ref="AA33">rendimento_cdb(Z33,CDI,CDB)</f>
        <v>1735.9021122854761</v>
      </c>
      <c r="AB33" s="15" cm="1">
        <f t="array" ref="AB33">irpf_regressiva(AA33,0.15)</f>
        <v>260.38531499999999</v>
      </c>
      <c r="AC33" s="15">
        <v>0</v>
      </c>
      <c r="AD33" s="15">
        <f t="shared" si="7"/>
        <v>1475.5167972854761</v>
      </c>
      <c r="AF33" s="9">
        <v>47088</v>
      </c>
      <c r="AG33" s="22">
        <v>2028</v>
      </c>
    </row>
    <row r="34" spans="1:33" x14ac:dyDescent="0.25">
      <c r="A34" s="7">
        <v>47119</v>
      </c>
      <c r="B34" s="22">
        <v>2029</v>
      </c>
      <c r="C34" s="8" t="s">
        <v>19</v>
      </c>
      <c r="D34" s="13">
        <f t="shared" si="5"/>
        <v>123729.32514829043</v>
      </c>
      <c r="E34" s="13" cm="1">
        <f t="array" ref="E34">rendimento_poupanca(D34,selic,TR)</f>
        <v>826.03284598469293</v>
      </c>
      <c r="F34" s="13">
        <v>0</v>
      </c>
      <c r="G34" s="14">
        <f t="shared" si="0"/>
        <v>826.03284598469293</v>
      </c>
      <c r="I34" s="20">
        <v>47119</v>
      </c>
      <c r="J34" s="22">
        <v>2029</v>
      </c>
      <c r="K34" s="8" t="s">
        <v>17</v>
      </c>
      <c r="L34" s="13" cm="1">
        <f t="array" ref="L34">atualizar_imovel($L$2,$I$2,I34,IPCA)</f>
        <v>108368.09999999998</v>
      </c>
      <c r="M34" s="13"/>
      <c r="N34" s="13">
        <f t="shared" si="8"/>
        <v>24772.349759999997</v>
      </c>
      <c r="O34" s="13" cm="1">
        <f t="array" ref="O34">atualizar_aluguel($O$2,$I$2,I34,IGPM)</f>
        <v>805.59371999999996</v>
      </c>
      <c r="P34" s="13">
        <f>P33+U33</f>
        <v>15482.718599999993</v>
      </c>
      <c r="Q34" s="18">
        <f t="shared" si="1"/>
        <v>0.625</v>
      </c>
      <c r="R34" s="13">
        <f t="shared" si="2"/>
        <v>221.538273</v>
      </c>
      <c r="S34" s="13">
        <f>O34*0.1</f>
        <v>80.559371999999996</v>
      </c>
      <c r="T34" s="13">
        <f t="shared" si="3"/>
        <v>302.097645</v>
      </c>
      <c r="U34" s="13">
        <f>O34-R34-S34</f>
        <v>503.49607499999996</v>
      </c>
      <c r="W34" s="20">
        <v>47119</v>
      </c>
      <c r="X34" s="22">
        <v>2029</v>
      </c>
      <c r="Y34" s="8" t="s">
        <v>6</v>
      </c>
      <c r="Z34" s="13">
        <f t="shared" si="6"/>
        <v>146455.78094944372</v>
      </c>
      <c r="AA34" s="13" cm="1">
        <f t="array" ref="AA34">rendimento_cdb(Z34,CDI,CDB)</f>
        <v>1756.7241040332385</v>
      </c>
      <c r="AB34" s="13" cm="1">
        <f t="array" ref="AB34">irpf_regressiva(AA34,0.15)</f>
        <v>263.50861499999996</v>
      </c>
      <c r="AC34" s="13">
        <v>0</v>
      </c>
      <c r="AD34" s="13">
        <f t="shared" si="7"/>
        <v>1493.2154890332386</v>
      </c>
      <c r="AF34" s="7">
        <v>47119</v>
      </c>
      <c r="AG34" s="22">
        <v>2029</v>
      </c>
    </row>
    <row r="35" spans="1:33" x14ac:dyDescent="0.25">
      <c r="A35" s="9">
        <v>47150</v>
      </c>
      <c r="B35" s="22">
        <v>2029</v>
      </c>
      <c r="C35" s="10" t="s">
        <v>19</v>
      </c>
      <c r="D35" s="15">
        <f t="shared" si="5"/>
        <v>124555.35799427512</v>
      </c>
      <c r="E35" s="13" cm="1">
        <f t="array" ref="E35">rendimento_poupanca(D35,selic,TR)</f>
        <v>831.54754758605145</v>
      </c>
      <c r="F35" s="15">
        <v>0</v>
      </c>
      <c r="G35" s="14">
        <f t="shared" si="0"/>
        <v>831.54754758605145</v>
      </c>
      <c r="I35" s="21">
        <v>47150</v>
      </c>
      <c r="J35" s="22">
        <v>2029</v>
      </c>
      <c r="K35" s="10" t="s">
        <v>17</v>
      </c>
      <c r="L35" s="15" cm="1">
        <f t="array" ref="L35">atualizar_imovel($L$2,$I$2,I35,IPCA)</f>
        <v>108368.09999999998</v>
      </c>
      <c r="M35" s="15"/>
      <c r="N35" s="15">
        <f t="shared" si="8"/>
        <v>25577.943479999998</v>
      </c>
      <c r="O35" s="15" cm="1">
        <f t="array" ref="O35">atualizar_aluguel($O$2,$I$2,I35,IGPM)</f>
        <v>805.59371999999996</v>
      </c>
      <c r="P35" s="15">
        <f>P34+U34</f>
        <v>15986.214674999992</v>
      </c>
      <c r="Q35" s="18">
        <f t="shared" si="1"/>
        <v>0.625</v>
      </c>
      <c r="R35" s="15">
        <f t="shared" si="2"/>
        <v>221.538273</v>
      </c>
      <c r="S35" s="15">
        <f>O35*0.1</f>
        <v>80.559371999999996</v>
      </c>
      <c r="T35" s="13">
        <f t="shared" si="3"/>
        <v>302.097645</v>
      </c>
      <c r="U35" s="15">
        <f>O35-R35-S35</f>
        <v>503.49607499999996</v>
      </c>
      <c r="W35" s="21">
        <v>47150</v>
      </c>
      <c r="X35" s="22">
        <v>2029</v>
      </c>
      <c r="Y35" s="10" t="s">
        <v>6</v>
      </c>
      <c r="Z35" s="15">
        <f t="shared" si="6"/>
        <v>148212.50505347695</v>
      </c>
      <c r="AA35" s="15" cm="1">
        <f t="array" ref="AA35">rendimento_cdb(Z35,CDI,CDB)</f>
        <v>1777.7958550239739</v>
      </c>
      <c r="AB35" s="15" cm="1">
        <f t="array" ref="AB35">irpf_regressiva(AA35,0.15)</f>
        <v>266.66938499999998</v>
      </c>
      <c r="AC35" s="15">
        <v>0</v>
      </c>
      <c r="AD35" s="15">
        <f t="shared" si="7"/>
        <v>1511.126470023974</v>
      </c>
      <c r="AF35" s="9">
        <v>47150</v>
      </c>
      <c r="AG35" s="22">
        <v>2029</v>
      </c>
    </row>
    <row r="36" spans="1:33" x14ac:dyDescent="0.25">
      <c r="A36" s="7">
        <v>47178</v>
      </c>
      <c r="B36" s="22">
        <v>2029</v>
      </c>
      <c r="C36" s="8" t="s">
        <v>19</v>
      </c>
      <c r="D36" s="13">
        <f t="shared" si="5"/>
        <v>125386.90554186118</v>
      </c>
      <c r="E36" s="13" cm="1">
        <f t="array" ref="E36">rendimento_poupanca(D36,selic,TR)</f>
        <v>837.09906536440599</v>
      </c>
      <c r="F36" s="13">
        <v>0</v>
      </c>
      <c r="G36" s="14">
        <f t="shared" si="0"/>
        <v>837.09906536440599</v>
      </c>
      <c r="I36" s="20">
        <v>47178</v>
      </c>
      <c r="J36" s="22">
        <v>2029</v>
      </c>
      <c r="K36" s="8" t="s">
        <v>17</v>
      </c>
      <c r="L36" s="13" cm="1">
        <f t="array" ref="L36">atualizar_imovel($L$2,$I$2,I36,IPCA)</f>
        <v>108368.09999999998</v>
      </c>
      <c r="M36" s="13"/>
      <c r="N36" s="13">
        <f t="shared" si="8"/>
        <v>26383.537199999999</v>
      </c>
      <c r="O36" s="13" cm="1">
        <f t="array" ref="O36">atualizar_aluguel($O$2,$I$2,I36,IGPM)</f>
        <v>805.59371999999996</v>
      </c>
      <c r="P36" s="13">
        <f>P35+U35</f>
        <v>16489.710749999991</v>
      </c>
      <c r="Q36" s="18">
        <f t="shared" si="1"/>
        <v>0.625</v>
      </c>
      <c r="R36" s="13">
        <f t="shared" si="2"/>
        <v>221.538273</v>
      </c>
      <c r="S36" s="13">
        <f>O36*0.1</f>
        <v>80.559371999999996</v>
      </c>
      <c r="T36" s="13">
        <f t="shared" si="3"/>
        <v>302.097645</v>
      </c>
      <c r="U36" s="13">
        <f>O36-R36-S36</f>
        <v>503.49607499999996</v>
      </c>
      <c r="W36" s="20">
        <v>47178</v>
      </c>
      <c r="X36" s="22">
        <v>2029</v>
      </c>
      <c r="Y36" s="8" t="s">
        <v>6</v>
      </c>
      <c r="Z36" s="13">
        <f t="shared" si="6"/>
        <v>149990.30090850094</v>
      </c>
      <c r="AA36" s="13" cm="1">
        <f t="array" ref="AA36">rendimento_cdb(Z36,CDI,CDB)</f>
        <v>1799.1203579880562</v>
      </c>
      <c r="AB36" s="13" cm="1">
        <f t="array" ref="AB36">irpf_regressiva(AA36,0.15)</f>
        <v>269.86806000000001</v>
      </c>
      <c r="AC36" s="13">
        <v>0</v>
      </c>
      <c r="AD36" s="13">
        <f t="shared" si="7"/>
        <v>1529.2522979880562</v>
      </c>
      <c r="AF36" s="7">
        <v>47178</v>
      </c>
      <c r="AG36" s="22">
        <v>2029</v>
      </c>
    </row>
    <row r="37" spans="1:33" x14ac:dyDescent="0.25">
      <c r="A37" s="9">
        <v>47209</v>
      </c>
      <c r="B37" s="22">
        <v>2029</v>
      </c>
      <c r="C37" s="10" t="s">
        <v>19</v>
      </c>
      <c r="D37" s="15">
        <f t="shared" si="5"/>
        <v>126224.00460722559</v>
      </c>
      <c r="E37" s="13" cm="1">
        <f t="array" ref="E37">rendimento_poupanca(D37,selic,TR)</f>
        <v>842.68764633650278</v>
      </c>
      <c r="F37" s="15">
        <v>0</v>
      </c>
      <c r="G37" s="14">
        <f t="shared" si="0"/>
        <v>842.68764633650278</v>
      </c>
      <c r="I37" s="21">
        <v>47209</v>
      </c>
      <c r="J37" s="22">
        <v>2029</v>
      </c>
      <c r="K37" s="10" t="s">
        <v>17</v>
      </c>
      <c r="L37" s="15" cm="1">
        <f t="array" ref="L37">atualizar_imovel($L$2,$I$2,I37,IPCA)</f>
        <v>108368.09999999998</v>
      </c>
      <c r="M37" s="15"/>
      <c r="N37" s="15">
        <f t="shared" si="8"/>
        <v>27189.13092</v>
      </c>
      <c r="O37" s="15" cm="1">
        <f t="array" ref="O37">atualizar_aluguel($O$2,$I$2,I37,IGPM)</f>
        <v>805.59371999999996</v>
      </c>
      <c r="P37" s="15">
        <f>P36+U36</f>
        <v>16993.20682499999</v>
      </c>
      <c r="Q37" s="18">
        <f t="shared" si="1"/>
        <v>0.625</v>
      </c>
      <c r="R37" s="15">
        <f t="shared" si="2"/>
        <v>221.538273</v>
      </c>
      <c r="S37" s="15">
        <f>O37*0.1</f>
        <v>80.559371999999996</v>
      </c>
      <c r="T37" s="13">
        <f t="shared" si="3"/>
        <v>302.097645</v>
      </c>
      <c r="U37" s="15">
        <f>O37-R37-S37</f>
        <v>503.49607499999996</v>
      </c>
      <c r="W37" s="21">
        <v>47209</v>
      </c>
      <c r="X37" s="22">
        <v>2029</v>
      </c>
      <c r="Y37" s="10" t="s">
        <v>6</v>
      </c>
      <c r="Z37" s="15">
        <f t="shared" si="6"/>
        <v>151789.42126648899</v>
      </c>
      <c r="AA37" s="15" cm="1">
        <f t="array" ref="AA37">rendimento_cdb(Z37,CDI,CDB)</f>
        <v>1820.7006476380491</v>
      </c>
      <c r="AB37" s="15" cm="1">
        <f t="array" ref="AB37">irpf_regressiva(AA37,0.15)</f>
        <v>273.10508999999996</v>
      </c>
      <c r="AC37" s="15">
        <v>0</v>
      </c>
      <c r="AD37" s="15">
        <f t="shared" si="7"/>
        <v>1547.5955576380491</v>
      </c>
      <c r="AF37" s="9">
        <v>47209</v>
      </c>
      <c r="AG37" s="22">
        <v>2029</v>
      </c>
    </row>
    <row r="38" spans="1:33" x14ac:dyDescent="0.25">
      <c r="A38" s="7">
        <v>47239</v>
      </c>
      <c r="B38" s="22">
        <v>2029</v>
      </c>
      <c r="C38" s="8" t="s">
        <v>19</v>
      </c>
      <c r="D38" s="13">
        <f t="shared" si="5"/>
        <v>127066.6922535621</v>
      </c>
      <c r="E38" s="13" cm="1">
        <f t="array" ref="E38">rendimento_poupanca(D38,selic,TR)</f>
        <v>848.31353751908784</v>
      </c>
      <c r="F38" s="13">
        <v>0</v>
      </c>
      <c r="G38" s="14">
        <f t="shared" si="0"/>
        <v>848.31353751908784</v>
      </c>
      <c r="I38" s="20">
        <v>47239</v>
      </c>
      <c r="J38" s="22">
        <v>2029</v>
      </c>
      <c r="K38" s="8" t="s">
        <v>17</v>
      </c>
      <c r="L38" s="13" cm="1">
        <f t="array" ref="L38">atualizar_imovel($L$2,$I$2,I38,IPCA)</f>
        <v>112811.19209999997</v>
      </c>
      <c r="M38" s="13">
        <f>O38</f>
        <v>834.917331408</v>
      </c>
      <c r="N38" s="13">
        <f t="shared" si="8"/>
        <v>27994.72464</v>
      </c>
      <c r="O38" s="13" cm="1">
        <f t="array" ref="O38">atualizar_aluguel($O$2,$I$2,I38,IGPM)</f>
        <v>834.917331408</v>
      </c>
      <c r="P38" s="13">
        <f>P37+U37</f>
        <v>17496.702899999989</v>
      </c>
      <c r="Q38" s="18">
        <f t="shared" si="1"/>
        <v>0.625</v>
      </c>
      <c r="R38" s="13">
        <f t="shared" si="2"/>
        <v>229.60226613720002</v>
      </c>
      <c r="S38" s="13">
        <f>O38*0.1</f>
        <v>83.491733140800008</v>
      </c>
      <c r="T38" s="13">
        <f t="shared" si="3"/>
        <v>313.09399927800001</v>
      </c>
      <c r="U38" s="13">
        <f>O38-R38-S38</f>
        <v>521.82333213000004</v>
      </c>
      <c r="W38" s="20">
        <v>47239</v>
      </c>
      <c r="X38" s="22">
        <v>2029</v>
      </c>
      <c r="Y38" s="8" t="s">
        <v>6</v>
      </c>
      <c r="Z38" s="13">
        <f t="shared" si="6"/>
        <v>153610.12191412706</v>
      </c>
      <c r="AA38" s="13" cm="1">
        <f t="array" ref="AA38">rendimento_cdb(Z38,CDI,CDB)</f>
        <v>1842.5397898732861</v>
      </c>
      <c r="AB38" s="13" cm="1">
        <f t="array" ref="AB38">irpf_regressiva(AA38,0.15)</f>
        <v>276.38096999999999</v>
      </c>
      <c r="AC38" s="13">
        <v>0</v>
      </c>
      <c r="AD38" s="13">
        <f t="shared" si="7"/>
        <v>1566.1588198732861</v>
      </c>
      <c r="AF38" s="7">
        <v>47239</v>
      </c>
      <c r="AG38" s="22">
        <v>2029</v>
      </c>
    </row>
    <row r="39" spans="1:33" x14ac:dyDescent="0.25">
      <c r="A39" s="9">
        <v>47270</v>
      </c>
      <c r="B39" s="22">
        <v>2029</v>
      </c>
      <c r="C39" s="10" t="s">
        <v>19</v>
      </c>
      <c r="D39" s="15">
        <f t="shared" si="5"/>
        <v>127915.00579108119</v>
      </c>
      <c r="E39" s="13" cm="1">
        <f t="array" ref="E39">rendimento_poupanca(D39,selic,TR)</f>
        <v>853.9769872641333</v>
      </c>
      <c r="F39" s="15">
        <v>0</v>
      </c>
      <c r="G39" s="14">
        <f t="shared" si="0"/>
        <v>853.9769872641333</v>
      </c>
      <c r="I39" s="21">
        <v>47270</v>
      </c>
      <c r="J39" s="22">
        <v>2029</v>
      </c>
      <c r="K39" s="10" t="s">
        <v>17</v>
      </c>
      <c r="L39" s="15" cm="1">
        <f t="array" ref="L39">atualizar_imovel($L$2,$I$2,I39,IPCA)</f>
        <v>112811.19209999997</v>
      </c>
      <c r="M39" s="15"/>
      <c r="N39" s="15">
        <f t="shared" si="8"/>
        <v>28829.641971408</v>
      </c>
      <c r="O39" s="15" cm="1">
        <f t="array" ref="O39">atualizar_aluguel($O$2,$I$2,I39,IGPM)</f>
        <v>834.917331408</v>
      </c>
      <c r="P39" s="15">
        <f>P38+U38</f>
        <v>18018.526232129989</v>
      </c>
      <c r="Q39" s="18">
        <f t="shared" si="1"/>
        <v>0.625</v>
      </c>
      <c r="R39" s="15">
        <f t="shared" si="2"/>
        <v>229.60226613720002</v>
      </c>
      <c r="S39" s="15">
        <f>O39*0.1</f>
        <v>83.491733140800008</v>
      </c>
      <c r="T39" s="13">
        <f t="shared" si="3"/>
        <v>313.09399927800001</v>
      </c>
      <c r="U39" s="15">
        <f>O39-R39-S39</f>
        <v>521.82333213000004</v>
      </c>
      <c r="W39" s="21">
        <v>47270</v>
      </c>
      <c r="X39" s="22">
        <v>2029</v>
      </c>
      <c r="Y39" s="10" t="s">
        <v>6</v>
      </c>
      <c r="Z39" s="15">
        <f t="shared" si="6"/>
        <v>155452.66170400035</v>
      </c>
      <c r="AA39" s="15" cm="1">
        <f t="array" ref="AA39">rendimento_cdb(Z39,CDI,CDB)</f>
        <v>1864.6408913757982</v>
      </c>
      <c r="AB39" s="15" cm="1">
        <f t="array" ref="AB39">irpf_regressiva(AA39,0.15)</f>
        <v>279.69613500000003</v>
      </c>
      <c r="AC39" s="15">
        <v>0</v>
      </c>
      <c r="AD39" s="15">
        <f t="shared" si="7"/>
        <v>1584.9447563757981</v>
      </c>
      <c r="AF39" s="9">
        <v>47270</v>
      </c>
      <c r="AG39" s="22">
        <v>2029</v>
      </c>
    </row>
    <row r="40" spans="1:33" x14ac:dyDescent="0.25">
      <c r="A40" s="7">
        <v>47300</v>
      </c>
      <c r="B40" s="22">
        <v>2029</v>
      </c>
      <c r="C40" s="8" t="s">
        <v>19</v>
      </c>
      <c r="D40" s="13">
        <f t="shared" si="5"/>
        <v>128768.98277834532</v>
      </c>
      <c r="E40" s="13" cm="1">
        <f t="array" ref="E40">rendimento_poupanca(D40,selic,TR)</f>
        <v>859.67824726167498</v>
      </c>
      <c r="F40" s="13">
        <v>0</v>
      </c>
      <c r="G40" s="14">
        <f t="shared" si="0"/>
        <v>859.67824726167498</v>
      </c>
      <c r="I40" s="20">
        <v>47300</v>
      </c>
      <c r="J40" s="22">
        <v>2029</v>
      </c>
      <c r="K40" s="8" t="s">
        <v>17</v>
      </c>
      <c r="L40" s="13" cm="1">
        <f t="array" ref="L40">atualizar_imovel($L$2,$I$2,I40,IPCA)</f>
        <v>112811.19209999997</v>
      </c>
      <c r="M40" s="13"/>
      <c r="N40" s="13">
        <f t="shared" si="8"/>
        <v>29664.559302816</v>
      </c>
      <c r="O40" s="13" cm="1">
        <f t="array" ref="O40">atualizar_aluguel($O$2,$I$2,I40,IGPM)</f>
        <v>834.917331408</v>
      </c>
      <c r="P40" s="13">
        <f>P39+U39</f>
        <v>18540.349564259988</v>
      </c>
      <c r="Q40" s="18">
        <f t="shared" si="1"/>
        <v>0.625</v>
      </c>
      <c r="R40" s="13">
        <f t="shared" si="2"/>
        <v>229.60226613720002</v>
      </c>
      <c r="S40" s="13">
        <f>O40*0.1</f>
        <v>83.491733140800008</v>
      </c>
      <c r="T40" s="13">
        <f t="shared" si="3"/>
        <v>313.09399927800001</v>
      </c>
      <c r="U40" s="13">
        <f>O40-R40-S40</f>
        <v>521.82333213000004</v>
      </c>
      <c r="W40" s="20">
        <v>47300</v>
      </c>
      <c r="X40" s="22">
        <v>2029</v>
      </c>
      <c r="Y40" s="8" t="s">
        <v>6</v>
      </c>
      <c r="Z40" s="13">
        <f t="shared" si="6"/>
        <v>157317.30259537615</v>
      </c>
      <c r="AA40" s="13" cm="1">
        <f t="array" ref="AA40">rendimento_cdb(Z40,CDI,CDB)</f>
        <v>1887.0070936128602</v>
      </c>
      <c r="AB40" s="13" cm="1">
        <f t="array" ref="AB40">irpf_regressiva(AA40,0.15)</f>
        <v>283.05106499999999</v>
      </c>
      <c r="AC40" s="13">
        <v>0</v>
      </c>
      <c r="AD40" s="13">
        <f t="shared" si="7"/>
        <v>1603.9560286128603</v>
      </c>
      <c r="AF40" s="7">
        <v>47300</v>
      </c>
      <c r="AG40" s="22">
        <v>2029</v>
      </c>
    </row>
    <row r="41" spans="1:33" x14ac:dyDescent="0.25">
      <c r="A41" s="9">
        <v>47331</v>
      </c>
      <c r="B41" s="22">
        <v>2029</v>
      </c>
      <c r="C41" s="10" t="s">
        <v>19</v>
      </c>
      <c r="D41" s="15">
        <f t="shared" si="5"/>
        <v>129628.661025607</v>
      </c>
      <c r="E41" s="13" cm="1">
        <f t="array" ref="E41">rendimento_poupanca(D41,selic,TR)</f>
        <v>865.41756920174907</v>
      </c>
      <c r="F41" s="15">
        <v>0</v>
      </c>
      <c r="G41" s="14">
        <f t="shared" si="0"/>
        <v>865.41756920174907</v>
      </c>
      <c r="I41" s="21">
        <v>47331</v>
      </c>
      <c r="J41" s="22">
        <v>2029</v>
      </c>
      <c r="K41" s="10" t="s">
        <v>17</v>
      </c>
      <c r="L41" s="15" cm="1">
        <f t="array" ref="L41">atualizar_imovel($L$2,$I$2,I41,IPCA)</f>
        <v>112811.19209999997</v>
      </c>
      <c r="M41" s="15"/>
      <c r="N41" s="15">
        <f t="shared" si="8"/>
        <v>30499.476634224</v>
      </c>
      <c r="O41" s="15" cm="1">
        <f t="array" ref="O41">atualizar_aluguel($O$2,$I$2,I41,IGPM)</f>
        <v>834.917331408</v>
      </c>
      <c r="P41" s="15">
        <f>P40+U40</f>
        <v>19062.172896389988</v>
      </c>
      <c r="Q41" s="18">
        <f t="shared" si="1"/>
        <v>0.625</v>
      </c>
      <c r="R41" s="15">
        <f t="shared" si="2"/>
        <v>229.60226613720002</v>
      </c>
      <c r="S41" s="15">
        <f>O41*0.1</f>
        <v>83.491733140800008</v>
      </c>
      <c r="T41" s="13">
        <f t="shared" si="3"/>
        <v>313.09399927800001</v>
      </c>
      <c r="U41" s="15">
        <f>O41-R41-S41</f>
        <v>521.82333213000004</v>
      </c>
      <c r="W41" s="21">
        <v>47331</v>
      </c>
      <c r="X41" s="22">
        <v>2029</v>
      </c>
      <c r="Y41" s="10" t="s">
        <v>6</v>
      </c>
      <c r="Z41" s="15">
        <f t="shared" si="6"/>
        <v>159204.30968898901</v>
      </c>
      <c r="AA41" s="15" cm="1">
        <f t="array" ref="AA41">rendimento_cdb(Z41,CDI,CDB)</f>
        <v>1909.6415764354626</v>
      </c>
      <c r="AB41" s="15" cm="1">
        <f t="array" ref="AB41">irpf_regressiva(AA41,0.15)</f>
        <v>286.44623999999999</v>
      </c>
      <c r="AC41" s="15">
        <v>0</v>
      </c>
      <c r="AD41" s="15">
        <f t="shared" si="7"/>
        <v>1623.1953364354627</v>
      </c>
      <c r="AF41" s="9">
        <v>47331</v>
      </c>
      <c r="AG41" s="22">
        <v>2029</v>
      </c>
    </row>
    <row r="42" spans="1:33" x14ac:dyDescent="0.25">
      <c r="A42" s="7">
        <v>47362</v>
      </c>
      <c r="B42" s="22">
        <v>2029</v>
      </c>
      <c r="C42" s="8" t="s">
        <v>19</v>
      </c>
      <c r="D42" s="13">
        <f t="shared" si="5"/>
        <v>130494.07859480874</v>
      </c>
      <c r="E42" s="13" cm="1">
        <f t="array" ref="E42">rendimento_poupanca(D42,selic,TR)</f>
        <v>871.19520811245582</v>
      </c>
      <c r="F42" s="13">
        <v>0</v>
      </c>
      <c r="G42" s="14">
        <f t="shared" si="0"/>
        <v>871.19520811245582</v>
      </c>
      <c r="I42" s="20">
        <v>47362</v>
      </c>
      <c r="J42" s="22">
        <v>2029</v>
      </c>
      <c r="K42" s="8" t="s">
        <v>17</v>
      </c>
      <c r="L42" s="13" cm="1">
        <f t="array" ref="L42">atualizar_imovel($L$2,$I$2,I42,IPCA)</f>
        <v>112811.19209999997</v>
      </c>
      <c r="M42" s="13"/>
      <c r="N42" s="13">
        <f t="shared" si="8"/>
        <v>31334.393965632</v>
      </c>
      <c r="O42" s="13" cm="1">
        <f t="array" ref="O42">atualizar_aluguel($O$2,$I$2,I42,IGPM)</f>
        <v>834.917331408</v>
      </c>
      <c r="P42" s="13">
        <f>P41+U41</f>
        <v>19583.996228519987</v>
      </c>
      <c r="Q42" s="18">
        <f t="shared" si="1"/>
        <v>0.625</v>
      </c>
      <c r="R42" s="13">
        <f t="shared" si="2"/>
        <v>229.60226613720002</v>
      </c>
      <c r="S42" s="13">
        <f>O42*0.1</f>
        <v>83.491733140800008</v>
      </c>
      <c r="T42" s="13">
        <f t="shared" si="3"/>
        <v>313.09399927800001</v>
      </c>
      <c r="U42" s="13">
        <f>O42-R42-S42</f>
        <v>521.82333213000004</v>
      </c>
      <c r="W42" s="20">
        <v>47362</v>
      </c>
      <c r="X42" s="22">
        <v>2029</v>
      </c>
      <c r="Y42" s="8" t="s">
        <v>6</v>
      </c>
      <c r="Z42" s="13">
        <f t="shared" si="6"/>
        <v>161113.95126542449</v>
      </c>
      <c r="AA42" s="13" cm="1">
        <f t="array" ref="AA42">rendimento_cdb(Z42,CDI,CDB)</f>
        <v>1932.547558078312</v>
      </c>
      <c r="AB42" s="13" cm="1">
        <f t="array" ref="AB42">irpf_regressiva(AA42,0.15)</f>
        <v>289.88213999999999</v>
      </c>
      <c r="AC42" s="13">
        <v>0</v>
      </c>
      <c r="AD42" s="13">
        <f t="shared" si="7"/>
        <v>1642.6654180783121</v>
      </c>
      <c r="AF42" s="7">
        <v>47362</v>
      </c>
      <c r="AG42" s="22">
        <v>2029</v>
      </c>
    </row>
    <row r="43" spans="1:33" x14ac:dyDescent="0.25">
      <c r="A43" s="9">
        <v>47392</v>
      </c>
      <c r="B43" s="22">
        <v>2029</v>
      </c>
      <c r="C43" s="10" t="s">
        <v>19</v>
      </c>
      <c r="D43" s="15">
        <f t="shared" si="5"/>
        <v>131365.27380292121</v>
      </c>
      <c r="E43" s="13" cm="1">
        <f t="array" ref="E43">rendimento_poupanca(D43,selic,TR)</f>
        <v>877.01141902189534</v>
      </c>
      <c r="F43" s="15">
        <v>0</v>
      </c>
      <c r="G43" s="14">
        <f t="shared" si="0"/>
        <v>877.01141902189534</v>
      </c>
      <c r="I43" s="21">
        <v>47392</v>
      </c>
      <c r="J43" s="22">
        <v>2029</v>
      </c>
      <c r="K43" s="10" t="s">
        <v>17</v>
      </c>
      <c r="L43" s="15" cm="1">
        <f t="array" ref="L43">atualizar_imovel($L$2,$I$2,I43,IPCA)</f>
        <v>112811.19209999997</v>
      </c>
      <c r="M43" s="15"/>
      <c r="N43" s="15">
        <f t="shared" si="8"/>
        <v>32169.31129704</v>
      </c>
      <c r="O43" s="15" cm="1">
        <f t="array" ref="O43">atualizar_aluguel($O$2,$I$2,I43,IGPM)</f>
        <v>834.917331408</v>
      </c>
      <c r="P43" s="15">
        <f>P42+U42</f>
        <v>20105.819560649987</v>
      </c>
      <c r="Q43" s="18">
        <f t="shared" si="1"/>
        <v>0.625</v>
      </c>
      <c r="R43" s="15">
        <f t="shared" si="2"/>
        <v>229.60226613720002</v>
      </c>
      <c r="S43" s="15">
        <f>O43*0.1</f>
        <v>83.491733140800008</v>
      </c>
      <c r="T43" s="13">
        <f t="shared" si="3"/>
        <v>313.09399927800001</v>
      </c>
      <c r="U43" s="15">
        <f>O43-R43-S43</f>
        <v>521.82333213000004</v>
      </c>
      <c r="W43" s="21">
        <v>47392</v>
      </c>
      <c r="X43" s="22">
        <v>2029</v>
      </c>
      <c r="Y43" s="10" t="s">
        <v>6</v>
      </c>
      <c r="Z43" s="15">
        <f t="shared" si="6"/>
        <v>163046.4988235028</v>
      </c>
      <c r="AA43" s="15" cm="1">
        <f t="array" ref="AA43">rendimento_cdb(Z43,CDI,CDB)</f>
        <v>1955.7282939603408</v>
      </c>
      <c r="AB43" s="15" cm="1">
        <f t="array" ref="AB43">irpf_regressiva(AA43,0.15)</f>
        <v>293.35924499999999</v>
      </c>
      <c r="AC43" s="15">
        <v>0</v>
      </c>
      <c r="AD43" s="15">
        <f t="shared" si="7"/>
        <v>1662.3690489603409</v>
      </c>
      <c r="AF43" s="9">
        <v>47392</v>
      </c>
      <c r="AG43" s="22">
        <v>2029</v>
      </c>
    </row>
    <row r="44" spans="1:33" x14ac:dyDescent="0.25">
      <c r="A44" s="7">
        <v>47423</v>
      </c>
      <c r="B44" s="22">
        <v>2029</v>
      </c>
      <c r="C44" s="8" t="s">
        <v>19</v>
      </c>
      <c r="D44" s="13">
        <f t="shared" si="5"/>
        <v>132242.28522194311</v>
      </c>
      <c r="E44" s="13" cm="1">
        <f t="array" ref="E44">rendimento_poupanca(D44,selic,TR)</f>
        <v>882.86645962861917</v>
      </c>
      <c r="F44" s="13">
        <v>0</v>
      </c>
      <c r="G44" s="14">
        <f t="shared" si="0"/>
        <v>882.86645962861917</v>
      </c>
      <c r="I44" s="20">
        <v>47423</v>
      </c>
      <c r="J44" s="22">
        <v>2029</v>
      </c>
      <c r="K44" s="8" t="s">
        <v>17</v>
      </c>
      <c r="L44" s="13" cm="1">
        <f t="array" ref="L44">atualizar_imovel($L$2,$I$2,I44,IPCA)</f>
        <v>112811.19209999997</v>
      </c>
      <c r="M44" s="13"/>
      <c r="N44" s="13">
        <f t="shared" si="8"/>
        <v>33004.228628448</v>
      </c>
      <c r="O44" s="13" cm="1">
        <f t="array" ref="O44">atualizar_aluguel($O$2,$I$2,I44,IGPM)</f>
        <v>834.917331408</v>
      </c>
      <c r="P44" s="13">
        <f>P43+U43</f>
        <v>20627.642892779986</v>
      </c>
      <c r="Q44" s="18">
        <f t="shared" si="1"/>
        <v>0.625</v>
      </c>
      <c r="R44" s="13">
        <f t="shared" si="2"/>
        <v>229.60226613720002</v>
      </c>
      <c r="S44" s="13">
        <f>O44*0.1</f>
        <v>83.491733140800008</v>
      </c>
      <c r="T44" s="13">
        <f t="shared" si="3"/>
        <v>313.09399927800001</v>
      </c>
      <c r="U44" s="13">
        <f>O44-R44-S44</f>
        <v>521.82333213000004</v>
      </c>
      <c r="W44" s="20">
        <v>47423</v>
      </c>
      <c r="X44" s="22">
        <v>2029</v>
      </c>
      <c r="Y44" s="8" t="s">
        <v>6</v>
      </c>
      <c r="Z44" s="13">
        <f t="shared" si="6"/>
        <v>165002.22711746313</v>
      </c>
      <c r="AA44" s="13" cm="1">
        <f t="array" ref="AA44">rendimento_cdb(Z44,CDI,CDB)</f>
        <v>1979.1870814826702</v>
      </c>
      <c r="AB44" s="13" cm="1">
        <f t="array" ref="AB44">irpf_regressiva(AA44,0.15)</f>
        <v>296.87806499999999</v>
      </c>
      <c r="AC44" s="13">
        <v>0</v>
      </c>
      <c r="AD44" s="13">
        <f t="shared" si="7"/>
        <v>1682.3090164826704</v>
      </c>
      <c r="AF44" s="7">
        <v>47423</v>
      </c>
      <c r="AG44" s="22">
        <v>2029</v>
      </c>
    </row>
    <row r="45" spans="1:33" x14ac:dyDescent="0.25">
      <c r="A45" s="9">
        <v>47453</v>
      </c>
      <c r="B45" s="22">
        <v>2029</v>
      </c>
      <c r="C45" s="10" t="s">
        <v>19</v>
      </c>
      <c r="D45" s="15">
        <f t="shared" si="5"/>
        <v>133125.15168157173</v>
      </c>
      <c r="E45" s="13" cm="1">
        <f t="array" ref="E45">rendimento_poupanca(D45,selic,TR)</f>
        <v>888.76058963401692</v>
      </c>
      <c r="F45" s="15">
        <v>0</v>
      </c>
      <c r="G45" s="14">
        <f t="shared" si="0"/>
        <v>888.76058963401692</v>
      </c>
      <c r="I45" s="21">
        <v>47453</v>
      </c>
      <c r="J45" s="22">
        <v>2029</v>
      </c>
      <c r="K45" s="10" t="s">
        <v>17</v>
      </c>
      <c r="L45" s="15" cm="1">
        <f t="array" ref="L45">atualizar_imovel($L$2,$I$2,I45,IPCA)</f>
        <v>112811.19209999997</v>
      </c>
      <c r="M45" s="15"/>
      <c r="N45" s="15">
        <f t="shared" si="8"/>
        <v>33839.145959856003</v>
      </c>
      <c r="O45" s="15" cm="1">
        <f t="array" ref="O45">atualizar_aluguel($O$2,$I$2,I45,IGPM)</f>
        <v>834.917331408</v>
      </c>
      <c r="P45" s="15">
        <f>P44+U44</f>
        <v>21149.466224909986</v>
      </c>
      <c r="Q45" s="18">
        <f t="shared" si="1"/>
        <v>0.625</v>
      </c>
      <c r="R45" s="15">
        <f t="shared" si="2"/>
        <v>229.60226613720002</v>
      </c>
      <c r="S45" s="15">
        <f>O45*0.1</f>
        <v>83.491733140800008</v>
      </c>
      <c r="T45" s="13">
        <f t="shared" si="3"/>
        <v>313.09399927800001</v>
      </c>
      <c r="U45" s="15">
        <f>O45-R45-S45</f>
        <v>521.82333213000004</v>
      </c>
      <c r="W45" s="21">
        <v>47453</v>
      </c>
      <c r="X45" s="22">
        <v>2029</v>
      </c>
      <c r="Y45" s="10" t="s">
        <v>6</v>
      </c>
      <c r="Z45" s="15">
        <f t="shared" si="6"/>
        <v>166981.4141989458</v>
      </c>
      <c r="AA45" s="15" cm="1">
        <f t="array" ref="AA45">rendimento_cdb(Z45,CDI,CDB)</f>
        <v>2002.9272552306475</v>
      </c>
      <c r="AB45" s="15" cm="1">
        <f t="array" ref="AB45">irpf_regressiva(AA45,0.15)</f>
        <v>300.43909500000001</v>
      </c>
      <c r="AC45" s="15">
        <v>0</v>
      </c>
      <c r="AD45" s="15">
        <f t="shared" si="7"/>
        <v>1702.4881602306475</v>
      </c>
      <c r="AF45" s="9">
        <v>47453</v>
      </c>
      <c r="AG45" s="22">
        <v>2029</v>
      </c>
    </row>
    <row r="46" spans="1:33" x14ac:dyDescent="0.25">
      <c r="A46" s="7">
        <v>47484</v>
      </c>
      <c r="B46" s="22">
        <v>2030</v>
      </c>
      <c r="C46" s="8" t="s">
        <v>19</v>
      </c>
      <c r="D46" s="13">
        <f t="shared" si="5"/>
        <v>134013.91227120574</v>
      </c>
      <c r="E46" s="13" cm="1">
        <f t="array" ref="E46">rendimento_poupanca(D46,selic,TR)</f>
        <v>894.69406940709189</v>
      </c>
      <c r="F46" s="13">
        <v>0</v>
      </c>
      <c r="G46" s="14">
        <f t="shared" si="0"/>
        <v>894.69406940709189</v>
      </c>
      <c r="I46" s="20">
        <v>47484</v>
      </c>
      <c r="J46" s="22">
        <v>2030</v>
      </c>
      <c r="K46" s="8" t="s">
        <v>17</v>
      </c>
      <c r="L46" s="13" cm="1">
        <f t="array" ref="L46">atualizar_imovel($L$2,$I$2,I46,IPCA)</f>
        <v>112811.19209999997</v>
      </c>
      <c r="M46" s="13"/>
      <c r="N46" s="13">
        <f t="shared" si="8"/>
        <v>34674.063291264007</v>
      </c>
      <c r="O46" s="13" cm="1">
        <f t="array" ref="O46">atualizar_aluguel($O$2,$I$2,I46,IGPM)</f>
        <v>834.917331408</v>
      </c>
      <c r="P46" s="13">
        <f>P45+U45</f>
        <v>21671.289557039985</v>
      </c>
      <c r="Q46" s="18">
        <f t="shared" si="1"/>
        <v>0.625</v>
      </c>
      <c r="R46" s="13">
        <f t="shared" si="2"/>
        <v>229.60226613720002</v>
      </c>
      <c r="S46" s="13">
        <f>O46*0.1</f>
        <v>83.491733140800008</v>
      </c>
      <c r="T46" s="13">
        <f t="shared" si="3"/>
        <v>313.09399927800001</v>
      </c>
      <c r="U46" s="13">
        <f>O46-R46-S46</f>
        <v>521.82333213000004</v>
      </c>
      <c r="W46" s="20">
        <v>47484</v>
      </c>
      <c r="X46" s="22">
        <v>2030</v>
      </c>
      <c r="Y46" s="8" t="s">
        <v>6</v>
      </c>
      <c r="Z46" s="13">
        <f t="shared" si="6"/>
        <v>168984.34145417644</v>
      </c>
      <c r="AA46" s="13" cm="1">
        <f t="array" ref="AA46">rendimento_cdb(Z46,CDI,CDB)</f>
        <v>2026.952190572317</v>
      </c>
      <c r="AB46" s="13" cm="1">
        <f t="array" ref="AB46">irpf_regressiva(AA46,0.15)</f>
        <v>304.04282999999998</v>
      </c>
      <c r="AC46" s="13">
        <v>0</v>
      </c>
      <c r="AD46" s="13">
        <f t="shared" si="7"/>
        <v>1722.9093605723169</v>
      </c>
      <c r="AF46" s="7">
        <v>47484</v>
      </c>
      <c r="AG46" s="22">
        <v>2030</v>
      </c>
    </row>
    <row r="47" spans="1:33" x14ac:dyDescent="0.25">
      <c r="A47" s="9">
        <v>47515</v>
      </c>
      <c r="B47" s="22">
        <v>2030</v>
      </c>
      <c r="C47" s="10" t="s">
        <v>19</v>
      </c>
      <c r="D47" s="15">
        <f t="shared" si="5"/>
        <v>134908.60634061284</v>
      </c>
      <c r="E47" s="13" cm="1">
        <f t="array" ref="E47">rendimento_poupanca(D47,selic,TR)</f>
        <v>900.66716131968531</v>
      </c>
      <c r="F47" s="15">
        <v>0</v>
      </c>
      <c r="G47" s="14">
        <f t="shared" si="0"/>
        <v>900.66716131968531</v>
      </c>
      <c r="I47" s="21">
        <v>47515</v>
      </c>
      <c r="J47" s="22">
        <v>2030</v>
      </c>
      <c r="K47" s="10" t="s">
        <v>17</v>
      </c>
      <c r="L47" s="15" cm="1">
        <f t="array" ref="L47">atualizar_imovel($L$2,$I$2,I47,IPCA)</f>
        <v>112811.19209999997</v>
      </c>
      <c r="M47" s="15"/>
      <c r="N47" s="15">
        <f t="shared" si="8"/>
        <v>35508.98062267201</v>
      </c>
      <c r="O47" s="15" cm="1">
        <f t="array" ref="O47">atualizar_aluguel($O$2,$I$2,I47,IGPM)</f>
        <v>834.917331408</v>
      </c>
      <c r="P47" s="15">
        <f>P46+U46</f>
        <v>22193.112889169985</v>
      </c>
      <c r="Q47" s="18">
        <f t="shared" si="1"/>
        <v>0.625</v>
      </c>
      <c r="R47" s="15">
        <f t="shared" si="2"/>
        <v>229.60226613720002</v>
      </c>
      <c r="S47" s="15">
        <f>O47*0.1</f>
        <v>83.491733140800008</v>
      </c>
      <c r="T47" s="13">
        <f t="shared" si="3"/>
        <v>313.09399927800001</v>
      </c>
      <c r="U47" s="15">
        <f>O47-R47-S47</f>
        <v>521.82333213000004</v>
      </c>
      <c r="W47" s="21">
        <v>47515</v>
      </c>
      <c r="X47" s="22">
        <v>2030</v>
      </c>
      <c r="Y47" s="10" t="s">
        <v>6</v>
      </c>
      <c r="Z47" s="15">
        <f t="shared" si="6"/>
        <v>171011.29364474874</v>
      </c>
      <c r="AA47" s="15" cm="1">
        <f t="array" ref="AA47">rendimento_cdb(Z47,CDI,CDB)</f>
        <v>2051.2653012594401</v>
      </c>
      <c r="AB47" s="15" cm="1">
        <f t="array" ref="AB47">irpf_regressiva(AA47,0.15)</f>
        <v>307.689795</v>
      </c>
      <c r="AC47" s="15">
        <v>0</v>
      </c>
      <c r="AD47" s="15">
        <f t="shared" si="7"/>
        <v>1743.5755062594401</v>
      </c>
      <c r="AF47" s="9">
        <v>47515</v>
      </c>
      <c r="AG47" s="22">
        <v>2030</v>
      </c>
    </row>
    <row r="48" spans="1:33" x14ac:dyDescent="0.25">
      <c r="A48" s="7">
        <v>47543</v>
      </c>
      <c r="B48" s="22">
        <v>2030</v>
      </c>
      <c r="C48" s="8" t="s">
        <v>19</v>
      </c>
      <c r="D48" s="13">
        <f t="shared" si="5"/>
        <v>135809.27350193253</v>
      </c>
      <c r="E48" s="13" cm="1">
        <f t="array" ref="E48">rendimento_poupanca(D48,selic,TR)</f>
        <v>906.68013108170226</v>
      </c>
      <c r="F48" s="13">
        <v>0</v>
      </c>
      <c r="G48" s="14">
        <f t="shared" si="0"/>
        <v>906.68013108170226</v>
      </c>
      <c r="I48" s="20">
        <v>47543</v>
      </c>
      <c r="J48" s="22">
        <v>2030</v>
      </c>
      <c r="K48" s="8" t="s">
        <v>17</v>
      </c>
      <c r="L48" s="13" cm="1">
        <f t="array" ref="L48">atualizar_imovel($L$2,$I$2,I48,IPCA)</f>
        <v>112811.19209999997</v>
      </c>
      <c r="M48" s="13"/>
      <c r="N48" s="13">
        <f t="shared" si="8"/>
        <v>36343.897954080014</v>
      </c>
      <c r="O48" s="13" cm="1">
        <f t="array" ref="O48">atualizar_aluguel($O$2,$I$2,I48,IGPM)</f>
        <v>834.917331408</v>
      </c>
      <c r="P48" s="13">
        <f>P47+U47</f>
        <v>22714.936221299984</v>
      </c>
      <c r="Q48" s="18">
        <f t="shared" si="1"/>
        <v>0.625</v>
      </c>
      <c r="R48" s="13">
        <f t="shared" si="2"/>
        <v>229.60226613720002</v>
      </c>
      <c r="S48" s="13">
        <f>O48*0.1</f>
        <v>83.491733140800008</v>
      </c>
      <c r="T48" s="13">
        <f t="shared" si="3"/>
        <v>313.09399927800001</v>
      </c>
      <c r="U48" s="13">
        <f>O48-R48-S48</f>
        <v>521.82333213000004</v>
      </c>
      <c r="W48" s="20">
        <v>47543</v>
      </c>
      <c r="X48" s="22">
        <v>2030</v>
      </c>
      <c r="Y48" s="8" t="s">
        <v>6</v>
      </c>
      <c r="Z48" s="13">
        <f t="shared" si="6"/>
        <v>173062.55894600818</v>
      </c>
      <c r="AA48" s="13" cm="1">
        <f t="array" ref="AA48">rendimento_cdb(Z48,CDI,CDB)</f>
        <v>2075.8700466244418</v>
      </c>
      <c r="AB48" s="13" cm="1">
        <f t="array" ref="AB48">irpf_regressiva(AA48,0.15)</f>
        <v>311.38049999999998</v>
      </c>
      <c r="AC48" s="13">
        <v>0</v>
      </c>
      <c r="AD48" s="13">
        <f t="shared" si="7"/>
        <v>1764.4895466244418</v>
      </c>
      <c r="AF48" s="7">
        <v>47543</v>
      </c>
      <c r="AG48" s="22">
        <v>2030</v>
      </c>
    </row>
    <row r="49" spans="1:33" x14ac:dyDescent="0.25">
      <c r="A49" s="9">
        <v>47574</v>
      </c>
      <c r="B49" s="22">
        <v>2030</v>
      </c>
      <c r="C49" s="10" t="s">
        <v>19</v>
      </c>
      <c r="D49" s="15">
        <f t="shared" si="5"/>
        <v>136715.95363301423</v>
      </c>
      <c r="E49" s="13" cm="1">
        <f t="array" ref="E49">rendimento_poupanca(D49,selic,TR)</f>
        <v>912.73324373543551</v>
      </c>
      <c r="F49" s="15">
        <v>0</v>
      </c>
      <c r="G49" s="14">
        <f t="shared" si="0"/>
        <v>912.73324373543551</v>
      </c>
      <c r="I49" s="21">
        <v>47574</v>
      </c>
      <c r="J49" s="22">
        <v>2030</v>
      </c>
      <c r="K49" s="10" t="s">
        <v>17</v>
      </c>
      <c r="L49" s="15" cm="1">
        <f t="array" ref="L49">atualizar_imovel($L$2,$I$2,I49,IPCA)</f>
        <v>112811.19209999997</v>
      </c>
      <c r="M49" s="15"/>
      <c r="N49" s="15">
        <f t="shared" si="8"/>
        <v>37178.815285488017</v>
      </c>
      <c r="O49" s="15" cm="1">
        <f t="array" ref="O49">atualizar_aluguel($O$2,$I$2,I49,IGPM)</f>
        <v>834.917331408</v>
      </c>
      <c r="P49" s="15">
        <f>P48+U48</f>
        <v>23236.759553429983</v>
      </c>
      <c r="Q49" s="18">
        <f t="shared" si="1"/>
        <v>0.625</v>
      </c>
      <c r="R49" s="15">
        <f t="shared" si="2"/>
        <v>229.60226613720002</v>
      </c>
      <c r="S49" s="15">
        <f>O49*0.1</f>
        <v>83.491733140800008</v>
      </c>
      <c r="T49" s="13">
        <f t="shared" si="3"/>
        <v>313.09399927800001</v>
      </c>
      <c r="U49" s="15">
        <f>O49-R49-S49</f>
        <v>521.82333213000004</v>
      </c>
      <c r="W49" s="21">
        <v>47574</v>
      </c>
      <c r="X49" s="22">
        <v>2030</v>
      </c>
      <c r="Y49" s="10" t="s">
        <v>6</v>
      </c>
      <c r="Z49" s="15">
        <f t="shared" si="6"/>
        <v>175138.42899263263</v>
      </c>
      <c r="AA49" s="15" cm="1">
        <f t="array" ref="AA49">rendimento_cdb(Z49,CDI,CDB)</f>
        <v>2100.7699243834622</v>
      </c>
      <c r="AB49" s="15" cm="1">
        <f t="array" ref="AB49">irpf_regressiva(AA49,0.15)</f>
        <v>315.11548499999998</v>
      </c>
      <c r="AC49" s="15">
        <v>0</v>
      </c>
      <c r="AD49" s="15">
        <f t="shared" si="7"/>
        <v>1785.6544393834622</v>
      </c>
      <c r="AF49" s="9">
        <v>47574</v>
      </c>
      <c r="AG49" s="22">
        <v>2030</v>
      </c>
    </row>
    <row r="50" spans="1:33" x14ac:dyDescent="0.25">
      <c r="A50" s="7">
        <v>47604</v>
      </c>
      <c r="B50" s="22">
        <v>2030</v>
      </c>
      <c r="C50" s="8" t="s">
        <v>19</v>
      </c>
      <c r="D50" s="13">
        <f t="shared" si="5"/>
        <v>137628.68687674968</v>
      </c>
      <c r="E50" s="13" cm="1">
        <f t="array" ref="E50">rendimento_poupanca(D50,selic,TR)</f>
        <v>918.82676832885454</v>
      </c>
      <c r="F50" s="13">
        <v>0</v>
      </c>
      <c r="G50" s="14">
        <f t="shared" si="0"/>
        <v>918.82676832885454</v>
      </c>
      <c r="I50" s="20">
        <v>47604</v>
      </c>
      <c r="J50" s="22">
        <v>2030</v>
      </c>
      <c r="K50" s="8" t="s">
        <v>17</v>
      </c>
      <c r="L50" s="13" cm="1">
        <f t="array" ref="L50">atualizar_imovel($L$2,$I$2,I50,IPCA)</f>
        <v>117436.45097609996</v>
      </c>
      <c r="M50" s="13">
        <f>O50</f>
        <v>865.3083222712512</v>
      </c>
      <c r="N50" s="13">
        <f t="shared" si="8"/>
        <v>38013.732616896021</v>
      </c>
      <c r="O50" s="13" cm="1">
        <f t="array" ref="O50">atualizar_aluguel($O$2,$I$2,I50,IGPM)</f>
        <v>865.3083222712512</v>
      </c>
      <c r="P50" s="13">
        <f>P49+U49</f>
        <v>23758.582885559983</v>
      </c>
      <c r="Q50" s="18">
        <f t="shared" si="1"/>
        <v>0.62499999999999989</v>
      </c>
      <c r="R50" s="13">
        <f t="shared" si="2"/>
        <v>237.9597886245941</v>
      </c>
      <c r="S50" s="13">
        <f>O50*0.1</f>
        <v>86.530832227125131</v>
      </c>
      <c r="T50" s="13">
        <f t="shared" si="3"/>
        <v>324.4906208517192</v>
      </c>
      <c r="U50" s="13">
        <f>O50-R50-S50</f>
        <v>540.81770141953189</v>
      </c>
      <c r="W50" s="20">
        <v>47604</v>
      </c>
      <c r="X50" s="22">
        <v>2030</v>
      </c>
      <c r="Y50" s="8" t="s">
        <v>6</v>
      </c>
      <c r="Z50" s="13">
        <f t="shared" si="6"/>
        <v>177239.1989170161</v>
      </c>
      <c r="AA50" s="13" cm="1">
        <f t="array" ref="AA50">rendimento_cdb(Z50,CDI,CDB)</f>
        <v>2125.9684730353406</v>
      </c>
      <c r="AB50" s="13" cm="1">
        <f t="array" ref="AB50">irpf_regressiva(AA50,0.15)</f>
        <v>318.89527499999997</v>
      </c>
      <c r="AC50" s="13">
        <v>0</v>
      </c>
      <c r="AD50" s="13">
        <f t="shared" si="7"/>
        <v>1807.0731980353407</v>
      </c>
      <c r="AF50" s="7">
        <v>47604</v>
      </c>
      <c r="AG50" s="22">
        <v>2030</v>
      </c>
    </row>
    <row r="51" spans="1:33" x14ac:dyDescent="0.25">
      <c r="A51" s="9">
        <v>47635</v>
      </c>
      <c r="B51" s="22">
        <v>2030</v>
      </c>
      <c r="C51" s="10" t="s">
        <v>19</v>
      </c>
      <c r="D51" s="15">
        <f t="shared" si="5"/>
        <v>138547.51364507852</v>
      </c>
      <c r="E51" s="13" cm="1">
        <f t="array" ref="E51">rendimento_poupanca(D51,selic,TR)</f>
        <v>924.9609732423163</v>
      </c>
      <c r="F51" s="15">
        <v>0</v>
      </c>
      <c r="G51" s="14">
        <f t="shared" si="0"/>
        <v>924.9609732423163</v>
      </c>
      <c r="I51" s="21">
        <v>47635</v>
      </c>
      <c r="J51" s="22">
        <v>2030</v>
      </c>
      <c r="K51" s="10" t="s">
        <v>17</v>
      </c>
      <c r="L51" s="15" cm="1">
        <f t="array" ref="L51">atualizar_imovel($L$2,$I$2,I51,IPCA)</f>
        <v>117436.45097609996</v>
      </c>
      <c r="M51" s="15"/>
      <c r="N51" s="15">
        <f t="shared" si="8"/>
        <v>38879.040939167273</v>
      </c>
      <c r="O51" s="15" cm="1">
        <f t="array" ref="O51">atualizar_aluguel($O$2,$I$2,I51,IGPM)</f>
        <v>865.3083222712512</v>
      </c>
      <c r="P51" s="15">
        <f>P50+U50</f>
        <v>24299.400586979515</v>
      </c>
      <c r="Q51" s="18">
        <f t="shared" si="1"/>
        <v>0.62499999999999989</v>
      </c>
      <c r="R51" s="15">
        <f t="shared" si="2"/>
        <v>237.9597886245941</v>
      </c>
      <c r="S51" s="15">
        <f>O51*0.1</f>
        <v>86.530832227125131</v>
      </c>
      <c r="T51" s="13">
        <f t="shared" si="3"/>
        <v>324.4906208517192</v>
      </c>
      <c r="U51" s="15">
        <f>O51-R51-S51</f>
        <v>540.81770141953189</v>
      </c>
      <c r="W51" s="21">
        <v>47635</v>
      </c>
      <c r="X51" s="22">
        <v>2030</v>
      </c>
      <c r="Y51" s="10" t="s">
        <v>6</v>
      </c>
      <c r="Z51" s="15">
        <f t="shared" si="6"/>
        <v>179365.16739005144</v>
      </c>
      <c r="AA51" s="15" cm="1">
        <f t="array" ref="AA51">rendimento_cdb(Z51,CDI,CDB)</f>
        <v>2151.4692766595795</v>
      </c>
      <c r="AB51" s="15" cm="1">
        <f t="array" ref="AB51">irpf_regressiva(AA51,0.15)</f>
        <v>322.720395</v>
      </c>
      <c r="AC51" s="15">
        <v>0</v>
      </c>
      <c r="AD51" s="15">
        <f t="shared" si="7"/>
        <v>1828.7488816595794</v>
      </c>
      <c r="AF51" s="9">
        <v>47635</v>
      </c>
      <c r="AG51" s="22">
        <v>2030</v>
      </c>
    </row>
    <row r="52" spans="1:33" x14ac:dyDescent="0.25">
      <c r="A52" s="7">
        <v>47665</v>
      </c>
      <c r="B52" s="22">
        <v>2030</v>
      </c>
      <c r="C52" s="8" t="s">
        <v>19</v>
      </c>
      <c r="D52" s="13">
        <f t="shared" si="5"/>
        <v>139472.47461832085</v>
      </c>
      <c r="E52" s="13" cm="1">
        <f t="array" ref="E52">rendimento_poupanca(D52,selic,TR)</f>
        <v>931.13613152946698</v>
      </c>
      <c r="F52" s="13">
        <v>0</v>
      </c>
      <c r="G52" s="14">
        <f t="shared" si="0"/>
        <v>931.13613152946698</v>
      </c>
      <c r="I52" s="20">
        <v>47665</v>
      </c>
      <c r="J52" s="22">
        <v>2030</v>
      </c>
      <c r="K52" s="8" t="s">
        <v>17</v>
      </c>
      <c r="L52" s="13" cm="1">
        <f t="array" ref="L52">atualizar_imovel($L$2,$I$2,I52,IPCA)</f>
        <v>117436.45097609996</v>
      </c>
      <c r="M52" s="13"/>
      <c r="N52" s="13">
        <f t="shared" si="8"/>
        <v>39744.349261438525</v>
      </c>
      <c r="O52" s="13" cm="1">
        <f t="array" ref="O52">atualizar_aluguel($O$2,$I$2,I52,IGPM)</f>
        <v>865.3083222712512</v>
      </c>
      <c r="P52" s="13">
        <f>P51+U51</f>
        <v>24840.218288399046</v>
      </c>
      <c r="Q52" s="18">
        <f t="shared" si="1"/>
        <v>0.62499999999999989</v>
      </c>
      <c r="R52" s="13">
        <f t="shared" si="2"/>
        <v>237.9597886245941</v>
      </c>
      <c r="S52" s="13">
        <f>O52*0.1</f>
        <v>86.530832227125131</v>
      </c>
      <c r="T52" s="13">
        <f t="shared" si="3"/>
        <v>324.4906208517192</v>
      </c>
      <c r="U52" s="13">
        <f>O52-R52-S52</f>
        <v>540.81770141953189</v>
      </c>
      <c r="W52" s="20">
        <v>47665</v>
      </c>
      <c r="X52" s="22">
        <v>2030</v>
      </c>
      <c r="Y52" s="8" t="s">
        <v>6</v>
      </c>
      <c r="Z52" s="13">
        <f t="shared" si="6"/>
        <v>181516.63666671101</v>
      </c>
      <c r="AA52" s="13" cm="1">
        <f t="array" ref="AA52">rendimento_cdb(Z52,CDI,CDB)</f>
        <v>2177.2759601183784</v>
      </c>
      <c r="AB52" s="13" cm="1">
        <f t="array" ref="AB52">irpf_regressiva(AA52,0.15)</f>
        <v>326.59139999999996</v>
      </c>
      <c r="AC52" s="13">
        <v>0</v>
      </c>
      <c r="AD52" s="13">
        <f t="shared" ref="AD52:AD61" si="9">AA52-AB52-AC52</f>
        <v>1850.6845601183784</v>
      </c>
      <c r="AF52" s="7">
        <v>47665</v>
      </c>
      <c r="AG52" s="22">
        <v>2030</v>
      </c>
    </row>
    <row r="53" spans="1:33" x14ac:dyDescent="0.25">
      <c r="A53" s="9">
        <v>47696</v>
      </c>
      <c r="B53" s="22">
        <v>2030</v>
      </c>
      <c r="C53" s="10" t="s">
        <v>19</v>
      </c>
      <c r="D53" s="15">
        <f t="shared" si="5"/>
        <v>140403.61074985031</v>
      </c>
      <c r="E53" s="13" cm="1">
        <f t="array" ref="E53">rendimento_poupanca(D53,selic,TR)</f>
        <v>937.35251557634069</v>
      </c>
      <c r="F53" s="15">
        <v>0</v>
      </c>
      <c r="G53" s="14">
        <f t="shared" si="0"/>
        <v>937.35251557634069</v>
      </c>
      <c r="I53" s="21">
        <v>47696</v>
      </c>
      <c r="J53" s="22">
        <v>2030</v>
      </c>
      <c r="K53" s="10" t="s">
        <v>17</v>
      </c>
      <c r="L53" s="15" cm="1">
        <f t="array" ref="L53">atualizar_imovel($L$2,$I$2,I53,IPCA)</f>
        <v>117436.45097609996</v>
      </c>
      <c r="M53" s="15"/>
      <c r="N53" s="15">
        <f t="shared" si="8"/>
        <v>40609.657583709777</v>
      </c>
      <c r="O53" s="15" cm="1">
        <f t="array" ref="O53">atualizar_aluguel($O$2,$I$2,I53,IGPM)</f>
        <v>865.3083222712512</v>
      </c>
      <c r="P53" s="15">
        <f>P52+U52</f>
        <v>25381.035989818578</v>
      </c>
      <c r="Q53" s="18">
        <f t="shared" si="1"/>
        <v>0.62499999999999989</v>
      </c>
      <c r="R53" s="15">
        <f t="shared" si="2"/>
        <v>237.9597886245941</v>
      </c>
      <c r="S53" s="15">
        <f>O53*0.1</f>
        <v>86.530832227125131</v>
      </c>
      <c r="T53" s="13">
        <f t="shared" si="3"/>
        <v>324.4906208517192</v>
      </c>
      <c r="U53" s="15">
        <f>O53-R53-S53</f>
        <v>540.81770141953189</v>
      </c>
      <c r="W53" s="21">
        <v>47696</v>
      </c>
      <c r="X53" s="22">
        <v>2030</v>
      </c>
      <c r="Y53" s="10" t="s">
        <v>6</v>
      </c>
      <c r="Z53" s="15">
        <f t="shared" si="6"/>
        <v>183693.91262682938</v>
      </c>
      <c r="AA53" s="15" cm="1">
        <f t="array" ref="AA53">rendimento_cdb(Z53,CDI,CDB)</f>
        <v>2203.392191455619</v>
      </c>
      <c r="AB53" s="15" cm="1">
        <f t="array" ref="AB53">irpf_regressiva(AA53,0.15)</f>
        <v>330.50882999999993</v>
      </c>
      <c r="AC53" s="15">
        <v>0</v>
      </c>
      <c r="AD53" s="15">
        <f t="shared" si="9"/>
        <v>1872.883361455619</v>
      </c>
      <c r="AF53" s="9">
        <v>47696</v>
      </c>
      <c r="AG53" s="22">
        <v>2030</v>
      </c>
    </row>
    <row r="54" spans="1:33" x14ac:dyDescent="0.25">
      <c r="A54" s="7">
        <v>47727</v>
      </c>
      <c r="B54" s="22">
        <v>2030</v>
      </c>
      <c r="C54" s="8" t="s">
        <v>19</v>
      </c>
      <c r="D54" s="13">
        <f t="shared" si="5"/>
        <v>141340.96326542666</v>
      </c>
      <c r="E54" s="13" cm="1">
        <f t="array" ref="E54">rendimento_poupanca(D54,selic,TR)</f>
        <v>943.61040177464804</v>
      </c>
      <c r="F54" s="13">
        <v>0</v>
      </c>
      <c r="G54" s="14">
        <f t="shared" si="0"/>
        <v>943.61040177464804</v>
      </c>
      <c r="I54" s="20">
        <v>47727</v>
      </c>
      <c r="J54" s="22">
        <v>2030</v>
      </c>
      <c r="K54" s="8" t="s">
        <v>17</v>
      </c>
      <c r="L54" s="13" cm="1">
        <f t="array" ref="L54">atualizar_imovel($L$2,$I$2,I54,IPCA)</f>
        <v>117436.45097609996</v>
      </c>
      <c r="M54" s="13"/>
      <c r="N54" s="13">
        <f t="shared" si="8"/>
        <v>41474.965905981029</v>
      </c>
      <c r="O54" s="13" cm="1">
        <f t="array" ref="O54">atualizar_aluguel($O$2,$I$2,I54,IGPM)</f>
        <v>865.3083222712512</v>
      </c>
      <c r="P54" s="13">
        <f>P53+U53</f>
        <v>25921.85369123811</v>
      </c>
      <c r="Q54" s="18">
        <f t="shared" si="1"/>
        <v>0.62499999999999989</v>
      </c>
      <c r="R54" s="13">
        <f t="shared" si="2"/>
        <v>237.9597886245941</v>
      </c>
      <c r="S54" s="13">
        <f>O54*0.1</f>
        <v>86.530832227125131</v>
      </c>
      <c r="T54" s="13">
        <f t="shared" si="3"/>
        <v>324.4906208517192</v>
      </c>
      <c r="U54" s="13">
        <f>O54-R54-S54</f>
        <v>540.81770141953189</v>
      </c>
      <c r="W54" s="20">
        <v>47727</v>
      </c>
      <c r="X54" s="22">
        <v>2030</v>
      </c>
      <c r="Y54" s="8" t="s">
        <v>6</v>
      </c>
      <c r="Z54" s="13">
        <f t="shared" si="6"/>
        <v>185897.30481828499</v>
      </c>
      <c r="AA54" s="13" cm="1">
        <f t="array" ref="AA54">rendimento_cdb(Z54,CDI,CDB)</f>
        <v>2229.8216854953375</v>
      </c>
      <c r="AB54" s="13" cm="1">
        <f t="array" ref="AB54">irpf_regressiva(AA54,0.15)</f>
        <v>334.47325499999999</v>
      </c>
      <c r="AC54" s="13">
        <v>0</v>
      </c>
      <c r="AD54" s="13">
        <f t="shared" si="9"/>
        <v>1895.3484304953377</v>
      </c>
      <c r="AF54" s="7">
        <v>47727</v>
      </c>
      <c r="AG54" s="22">
        <v>2030</v>
      </c>
    </row>
    <row r="55" spans="1:33" x14ac:dyDescent="0.25">
      <c r="A55" s="9">
        <v>47757</v>
      </c>
      <c r="B55" s="22">
        <v>2030</v>
      </c>
      <c r="C55" s="10" t="s">
        <v>19</v>
      </c>
      <c r="D55" s="15">
        <f t="shared" si="5"/>
        <v>142284.5736672013</v>
      </c>
      <c r="E55" s="13" cm="1">
        <f t="array" ref="E55">rendimento_poupanca(D55,selic,TR)</f>
        <v>949.91006584848651</v>
      </c>
      <c r="F55" s="15">
        <v>0</v>
      </c>
      <c r="G55" s="14">
        <f t="shared" si="0"/>
        <v>949.91006584848651</v>
      </c>
      <c r="I55" s="21">
        <v>47757</v>
      </c>
      <c r="J55" s="22">
        <v>2030</v>
      </c>
      <c r="K55" s="10" t="s">
        <v>17</v>
      </c>
      <c r="L55" s="15" cm="1">
        <f t="array" ref="L55">atualizar_imovel($L$2,$I$2,I55,IPCA)</f>
        <v>117436.45097609996</v>
      </c>
      <c r="M55" s="15"/>
      <c r="N55" s="15">
        <f t="shared" si="8"/>
        <v>42340.274228252281</v>
      </c>
      <c r="O55" s="15" cm="1">
        <f t="array" ref="O55">atualizar_aluguel($O$2,$I$2,I55,IGPM)</f>
        <v>865.3083222712512</v>
      </c>
      <c r="P55" s="15">
        <f>P54+U54</f>
        <v>26462.671392657641</v>
      </c>
      <c r="Q55" s="18">
        <f t="shared" si="1"/>
        <v>0.62499999999999989</v>
      </c>
      <c r="R55" s="15">
        <f t="shared" si="2"/>
        <v>237.9597886245941</v>
      </c>
      <c r="S55" s="15">
        <f>O55*0.1</f>
        <v>86.530832227125131</v>
      </c>
      <c r="T55" s="13">
        <f t="shared" si="3"/>
        <v>324.4906208517192</v>
      </c>
      <c r="U55" s="15">
        <f>O55-R55-S55</f>
        <v>540.81770141953189</v>
      </c>
      <c r="W55" s="21">
        <v>47757</v>
      </c>
      <c r="X55" s="22">
        <v>2030</v>
      </c>
      <c r="Y55" s="10" t="s">
        <v>6</v>
      </c>
      <c r="Z55" s="15">
        <f t="shared" si="6"/>
        <v>188127.12650378034</v>
      </c>
      <c r="AA55" s="15" cm="1">
        <f t="array" ref="AA55">rendimento_cdb(Z55,CDI,CDB)</f>
        <v>2256.5681990437579</v>
      </c>
      <c r="AB55" s="15" cm="1">
        <f t="array" ref="AB55">irpf_regressiva(AA55,0.15)</f>
        <v>338.48523</v>
      </c>
      <c r="AC55" s="15">
        <v>0</v>
      </c>
      <c r="AD55" s="15">
        <f t="shared" si="9"/>
        <v>1918.0829690437579</v>
      </c>
      <c r="AF55" s="9">
        <v>47757</v>
      </c>
      <c r="AG55" s="22">
        <v>2030</v>
      </c>
    </row>
    <row r="56" spans="1:33" x14ac:dyDescent="0.25">
      <c r="A56" s="7">
        <v>47788</v>
      </c>
      <c r="B56" s="22">
        <v>2030</v>
      </c>
      <c r="C56" s="8" t="s">
        <v>19</v>
      </c>
      <c r="D56" s="13">
        <f t="shared" si="5"/>
        <v>143234.4837330498</v>
      </c>
      <c r="E56" s="13" cm="1">
        <f t="array" ref="E56">rendimento_poupanca(D56,selic,TR)</f>
        <v>956.25178686001834</v>
      </c>
      <c r="F56" s="13">
        <v>0</v>
      </c>
      <c r="G56" s="14">
        <f t="shared" si="0"/>
        <v>956.25178686001834</v>
      </c>
      <c r="I56" s="20">
        <v>47788</v>
      </c>
      <c r="J56" s="22">
        <v>2030</v>
      </c>
      <c r="K56" s="8" t="s">
        <v>17</v>
      </c>
      <c r="L56" s="13" cm="1">
        <f t="array" ref="L56">atualizar_imovel($L$2,$I$2,I56,IPCA)</f>
        <v>117436.45097609996</v>
      </c>
      <c r="M56" s="13"/>
      <c r="N56" s="13">
        <f t="shared" si="8"/>
        <v>43205.582550523533</v>
      </c>
      <c r="O56" s="13" cm="1">
        <f t="array" ref="O56">atualizar_aluguel($O$2,$I$2,I56,IGPM)</f>
        <v>865.3083222712512</v>
      </c>
      <c r="P56" s="13">
        <f>P55+U55</f>
        <v>27003.489094077173</v>
      </c>
      <c r="Q56" s="18">
        <f t="shared" si="1"/>
        <v>0.62499999999999989</v>
      </c>
      <c r="R56" s="13">
        <f t="shared" si="2"/>
        <v>237.9597886245941</v>
      </c>
      <c r="S56" s="13">
        <f>O56*0.1</f>
        <v>86.530832227125131</v>
      </c>
      <c r="T56" s="13">
        <f t="shared" si="3"/>
        <v>324.4906208517192</v>
      </c>
      <c r="U56" s="13">
        <f>O56-R56-S56</f>
        <v>540.81770141953189</v>
      </c>
      <c r="W56" s="20">
        <v>47788</v>
      </c>
      <c r="X56" s="22">
        <v>2030</v>
      </c>
      <c r="Y56" s="8" t="s">
        <v>6</v>
      </c>
      <c r="Z56" s="13">
        <f t="shared" si="6"/>
        <v>190383.69470282408</v>
      </c>
      <c r="AA56" s="13" cm="1">
        <f t="array" ref="AA56">rendimento_cdb(Z56,CDI,CDB)</f>
        <v>2283.6355344877688</v>
      </c>
      <c r="AB56" s="13" cm="1">
        <f t="array" ref="AB56">irpf_regressiva(AA56,0.15)</f>
        <v>342.54532499999999</v>
      </c>
      <c r="AC56" s="13">
        <v>0</v>
      </c>
      <c r="AD56" s="13">
        <f t="shared" si="9"/>
        <v>1941.0902094877688</v>
      </c>
      <c r="AF56" s="7">
        <v>47788</v>
      </c>
      <c r="AG56" s="22">
        <v>2030</v>
      </c>
    </row>
    <row r="57" spans="1:33" x14ac:dyDescent="0.25">
      <c r="A57" s="9">
        <v>47818</v>
      </c>
      <c r="B57" s="22">
        <v>2030</v>
      </c>
      <c r="C57" s="10" t="s">
        <v>19</v>
      </c>
      <c r="D57" s="15">
        <f t="shared" si="5"/>
        <v>144190.73551990982</v>
      </c>
      <c r="E57" s="13" cm="1">
        <f t="array" ref="E57">rendimento_poupanca(D57,selic,TR)</f>
        <v>962.63584654185672</v>
      </c>
      <c r="F57" s="15">
        <v>0</v>
      </c>
      <c r="G57" s="14">
        <f t="shared" si="0"/>
        <v>962.63584654185672</v>
      </c>
      <c r="I57" s="21">
        <v>47818</v>
      </c>
      <c r="J57" s="22">
        <v>2030</v>
      </c>
      <c r="K57" s="10" t="s">
        <v>17</v>
      </c>
      <c r="L57" s="15" cm="1">
        <f t="array" ref="L57">atualizar_imovel($L$2,$I$2,I57,IPCA)</f>
        <v>117436.45097609996</v>
      </c>
      <c r="M57" s="15"/>
      <c r="N57" s="15">
        <f t="shared" si="8"/>
        <v>44070.890872794786</v>
      </c>
      <c r="O57" s="15" cm="1">
        <f t="array" ref="O57">atualizar_aluguel($O$2,$I$2,I57,IGPM)</f>
        <v>865.3083222712512</v>
      </c>
      <c r="P57" s="15">
        <f>P56+U56</f>
        <v>27544.306795496705</v>
      </c>
      <c r="Q57" s="18">
        <f t="shared" si="1"/>
        <v>0.62499999999999989</v>
      </c>
      <c r="R57" s="15">
        <f t="shared" si="2"/>
        <v>237.9597886245941</v>
      </c>
      <c r="S57" s="15">
        <f>O57*0.1</f>
        <v>86.530832227125131</v>
      </c>
      <c r="T57" s="13">
        <f t="shared" si="3"/>
        <v>324.4906208517192</v>
      </c>
      <c r="U57" s="15">
        <f>O57-R57-S57</f>
        <v>540.81770141953189</v>
      </c>
      <c r="W57" s="21">
        <v>47818</v>
      </c>
      <c r="X57" s="22">
        <v>2030</v>
      </c>
      <c r="Y57" s="10" t="s">
        <v>6</v>
      </c>
      <c r="Z57" s="15">
        <f t="shared" si="6"/>
        <v>192667.33023731186</v>
      </c>
      <c r="AA57" s="15" cm="1">
        <f t="array" ref="AA57">rendimento_cdb(Z57,CDI,CDB)</f>
        <v>2311.0275397949217</v>
      </c>
      <c r="AB57" s="15" cm="1">
        <f t="array" ref="AB57">irpf_regressiva(AA57,0.15)</f>
        <v>346.65412500000002</v>
      </c>
      <c r="AC57" s="15">
        <v>0</v>
      </c>
      <c r="AD57" s="15">
        <f t="shared" si="9"/>
        <v>1964.3734147949217</v>
      </c>
      <c r="AF57" s="9">
        <v>47818</v>
      </c>
      <c r="AG57" s="22">
        <v>2030</v>
      </c>
    </row>
    <row r="58" spans="1:33" x14ac:dyDescent="0.25">
      <c r="A58" s="7">
        <v>47849</v>
      </c>
      <c r="B58" s="22">
        <v>2031</v>
      </c>
      <c r="C58" s="8" t="s">
        <v>19</v>
      </c>
      <c r="D58" s="13">
        <f t="shared" si="5"/>
        <v>145153.37136645167</v>
      </c>
      <c r="E58" s="13" cm="1">
        <f t="array" ref="E58">rendimento_poupanca(D58,selic,TR)</f>
        <v>969.06252729422783</v>
      </c>
      <c r="F58" s="13">
        <v>0</v>
      </c>
      <c r="G58" s="14">
        <f t="shared" si="0"/>
        <v>969.06252729422783</v>
      </c>
      <c r="I58" s="20">
        <v>47849</v>
      </c>
      <c r="J58" s="22">
        <v>2031</v>
      </c>
      <c r="K58" s="8" t="s">
        <v>17</v>
      </c>
      <c r="L58" s="13" cm="1">
        <f t="array" ref="L58">atualizar_imovel($L$2,$I$2,I58,IPCA)</f>
        <v>117436.45097609996</v>
      </c>
      <c r="M58" s="13"/>
      <c r="N58" s="13">
        <f t="shared" si="8"/>
        <v>44936.199195066038</v>
      </c>
      <c r="O58" s="13" cm="1">
        <f t="array" ref="O58">atualizar_aluguel($O$2,$I$2,I58,IGPM)</f>
        <v>865.3083222712512</v>
      </c>
      <c r="P58" s="13">
        <f>P57+U57</f>
        <v>28085.124496916236</v>
      </c>
      <c r="Q58" s="18">
        <f t="shared" si="1"/>
        <v>0.62499999999999989</v>
      </c>
      <c r="R58" s="13">
        <f t="shared" si="2"/>
        <v>237.9597886245941</v>
      </c>
      <c r="S58" s="13">
        <f>O58*0.1</f>
        <v>86.530832227125131</v>
      </c>
      <c r="T58" s="13">
        <f t="shared" si="3"/>
        <v>324.4906208517192</v>
      </c>
      <c r="U58" s="13">
        <f>O58-R58-S58</f>
        <v>540.81770141953189</v>
      </c>
      <c r="W58" s="20">
        <v>47849</v>
      </c>
      <c r="X58" s="22">
        <v>2031</v>
      </c>
      <c r="Y58" s="8" t="s">
        <v>6</v>
      </c>
      <c r="Z58" s="13">
        <f t="shared" si="6"/>
        <v>194978.35777710678</v>
      </c>
      <c r="AA58" s="13" cm="1">
        <f t="array" ref="AA58">rendimento_cdb(Z58,CDI,CDB)</f>
        <v>2338.7481109124124</v>
      </c>
      <c r="AB58" s="13" cm="1">
        <f t="array" ref="AB58">irpf_regressiva(AA58,0.15)</f>
        <v>350.81221499999998</v>
      </c>
      <c r="AC58" s="13">
        <v>0</v>
      </c>
      <c r="AD58" s="13">
        <f t="shared" si="9"/>
        <v>1987.9358959124124</v>
      </c>
      <c r="AF58" s="7">
        <v>47849</v>
      </c>
      <c r="AG58" s="22">
        <v>2031</v>
      </c>
    </row>
    <row r="59" spans="1:33" x14ac:dyDescent="0.25">
      <c r="A59" s="9">
        <v>47880</v>
      </c>
      <c r="B59" s="22">
        <v>2031</v>
      </c>
      <c r="C59" s="10" t="s">
        <v>19</v>
      </c>
      <c r="D59" s="15">
        <f t="shared" si="5"/>
        <v>146122.43389374591</v>
      </c>
      <c r="E59" s="13" cm="1">
        <f t="array" ref="E59">rendimento_poupanca(D59,selic,TR)</f>
        <v>975.5321128525834</v>
      </c>
      <c r="F59" s="15">
        <v>0</v>
      </c>
      <c r="G59" s="14">
        <f t="shared" si="0"/>
        <v>975.5321128525834</v>
      </c>
      <c r="I59" s="21">
        <v>47880</v>
      </c>
      <c r="J59" s="22">
        <v>2031</v>
      </c>
      <c r="K59" s="10" t="s">
        <v>17</v>
      </c>
      <c r="L59" s="15" cm="1">
        <f t="array" ref="L59">atualizar_imovel($L$2,$I$2,I59,IPCA)</f>
        <v>117436.45097609996</v>
      </c>
      <c r="M59" s="15"/>
      <c r="N59" s="15">
        <f t="shared" si="8"/>
        <v>45801.50751733729</v>
      </c>
      <c r="O59" s="15" cm="1">
        <f t="array" ref="O59">atualizar_aluguel($O$2,$I$2,I59,IGPM)</f>
        <v>865.3083222712512</v>
      </c>
      <c r="P59" s="15">
        <f>P58+U58</f>
        <v>28625.942198335768</v>
      </c>
      <c r="Q59" s="18">
        <f t="shared" si="1"/>
        <v>0.62499999999999989</v>
      </c>
      <c r="R59" s="15">
        <f t="shared" si="2"/>
        <v>237.9597886245941</v>
      </c>
      <c r="S59" s="15">
        <f>O59*0.1</f>
        <v>86.530832227125131</v>
      </c>
      <c r="T59" s="13">
        <f t="shared" si="3"/>
        <v>324.4906208517192</v>
      </c>
      <c r="U59" s="15">
        <f>O59-R59-S59</f>
        <v>540.81770141953189</v>
      </c>
      <c r="W59" s="21">
        <v>47880</v>
      </c>
      <c r="X59" s="22">
        <v>2031</v>
      </c>
      <c r="Y59" s="10" t="s">
        <v>6</v>
      </c>
      <c r="Z59" s="15">
        <f t="shared" si="6"/>
        <v>197317.1058880192</v>
      </c>
      <c r="AA59" s="15" cm="1">
        <f t="array" ref="AA59">rendimento_cdb(Z59,CDI,CDB)</f>
        <v>2366.8011869691181</v>
      </c>
      <c r="AB59" s="15" cm="1">
        <f t="array" ref="AB59">irpf_regressiva(AA59,0.15)</f>
        <v>355.02017999999998</v>
      </c>
      <c r="AC59" s="15">
        <v>0</v>
      </c>
      <c r="AD59" s="15">
        <f t="shared" si="9"/>
        <v>2011.7810069691182</v>
      </c>
      <c r="AF59" s="9">
        <v>47880</v>
      </c>
      <c r="AG59" s="22">
        <v>2031</v>
      </c>
    </row>
    <row r="60" spans="1:33" x14ac:dyDescent="0.25">
      <c r="A60" s="7">
        <v>47908</v>
      </c>
      <c r="B60" s="22">
        <v>2031</v>
      </c>
      <c r="C60" s="8" t="s">
        <v>19</v>
      </c>
      <c r="D60" s="13">
        <f t="shared" si="5"/>
        <v>147097.96600659849</v>
      </c>
      <c r="E60" s="13" cm="1">
        <f t="array" ref="E60">rendimento_poupanca(D60,selic,TR)</f>
        <v>982.04489029043918</v>
      </c>
      <c r="F60" s="13">
        <v>0</v>
      </c>
      <c r="G60" s="14">
        <f t="shared" si="0"/>
        <v>982.04489029043918</v>
      </c>
      <c r="I60" s="20">
        <v>47908</v>
      </c>
      <c r="J60" s="22">
        <v>2031</v>
      </c>
      <c r="K60" s="8" t="s">
        <v>17</v>
      </c>
      <c r="L60" s="13" cm="1">
        <f t="array" ref="L60">atualizar_imovel($L$2,$I$2,I60,IPCA)</f>
        <v>117436.45097609996</v>
      </c>
      <c r="M60" s="13"/>
      <c r="N60" s="13">
        <f t="shared" si="8"/>
        <v>46666.815839608542</v>
      </c>
      <c r="O60" s="13" cm="1">
        <f t="array" ref="O60">atualizar_aluguel($O$2,$I$2,I60,IGPM)</f>
        <v>865.3083222712512</v>
      </c>
      <c r="P60" s="13">
        <f>P59+U59</f>
        <v>29166.7598997553</v>
      </c>
      <c r="Q60" s="18">
        <f t="shared" si="1"/>
        <v>0.62499999999999989</v>
      </c>
      <c r="R60" s="13">
        <f t="shared" si="2"/>
        <v>237.9597886245941</v>
      </c>
      <c r="S60" s="13">
        <f>O60*0.1</f>
        <v>86.530832227125131</v>
      </c>
      <c r="T60" s="13">
        <f t="shared" si="3"/>
        <v>324.4906208517192</v>
      </c>
      <c r="U60" s="13">
        <f>O60-R60-S60</f>
        <v>540.81770141953189</v>
      </c>
      <c r="W60" s="20">
        <v>47908</v>
      </c>
      <c r="X60" s="22">
        <v>2031</v>
      </c>
      <c r="Y60" s="8" t="s">
        <v>6</v>
      </c>
      <c r="Z60" s="13">
        <f t="shared" si="6"/>
        <v>199683.90707498832</v>
      </c>
      <c r="AA60" s="13" cm="1">
        <f t="array" ref="AA60">rendimento_cdb(Z60,CDI,CDB)</f>
        <v>2395.1907574725437</v>
      </c>
      <c r="AB60" s="13" cm="1">
        <f t="array" ref="AB60">irpf_regressiva(AA60,0.15)</f>
        <v>359.27861999999999</v>
      </c>
      <c r="AC60" s="13">
        <v>0</v>
      </c>
      <c r="AD60" s="13">
        <f t="shared" si="9"/>
        <v>2035.9121374725437</v>
      </c>
      <c r="AF60" s="7">
        <v>47908</v>
      </c>
      <c r="AG60" s="22">
        <v>2031</v>
      </c>
    </row>
    <row r="61" spans="1:33" x14ac:dyDescent="0.25">
      <c r="A61" s="9">
        <v>47939</v>
      </c>
      <c r="B61" s="22">
        <v>2031</v>
      </c>
      <c r="C61" s="10" t="s">
        <v>19</v>
      </c>
      <c r="D61" s="15">
        <f t="shared" si="5"/>
        <v>148080.01089688894</v>
      </c>
      <c r="E61" s="13" cm="1">
        <f t="array" ref="E61">rendimento_poupanca(D61,selic,TR)</f>
        <v>988.60114801653719</v>
      </c>
      <c r="F61" s="15">
        <v>0</v>
      </c>
      <c r="G61" s="14">
        <f t="shared" si="0"/>
        <v>988.60114801653719</v>
      </c>
      <c r="I61" s="21">
        <v>47939</v>
      </c>
      <c r="J61" s="22">
        <v>2031</v>
      </c>
      <c r="K61" s="10" t="s">
        <v>17</v>
      </c>
      <c r="L61" s="15" cm="1">
        <f t="array" ref="L61">atualizar_imovel($L$2,$I$2,I61,IPCA)</f>
        <v>117436.45097609996</v>
      </c>
      <c r="M61" s="15"/>
      <c r="N61" s="15">
        <f t="shared" si="8"/>
        <v>47532.124161879794</v>
      </c>
      <c r="O61" s="15" cm="1">
        <f t="array" ref="O61">atualizar_aluguel($O$2,$I$2,I61,IGPM)</f>
        <v>865.3083222712512</v>
      </c>
      <c r="P61" s="15">
        <f>P60+U60</f>
        <v>29707.577601174831</v>
      </c>
      <c r="Q61" s="18">
        <f t="shared" si="1"/>
        <v>0.62499999999999989</v>
      </c>
      <c r="R61" s="15">
        <f t="shared" si="2"/>
        <v>237.9597886245941</v>
      </c>
      <c r="S61" s="15">
        <f>O61*0.1</f>
        <v>86.530832227125131</v>
      </c>
      <c r="T61" s="13">
        <f t="shared" si="3"/>
        <v>324.4906208517192</v>
      </c>
      <c r="U61" s="15">
        <f>O61-R61-S61</f>
        <v>540.81770141953189</v>
      </c>
      <c r="W61" s="21">
        <v>47939</v>
      </c>
      <c r="X61" s="22">
        <v>2031</v>
      </c>
      <c r="Y61" s="10" t="s">
        <v>6</v>
      </c>
      <c r="Z61" s="15">
        <f t="shared" si="6"/>
        <v>202079.09783246086</v>
      </c>
      <c r="AA61" s="15" cm="1">
        <f t="array" ref="AA61">rendimento_cdb(Z61,CDI,CDB)</f>
        <v>2423.9208575108564</v>
      </c>
      <c r="AB61" s="15" cm="1">
        <f t="array" ref="AB61">irpf_regressiva(AA61,0.15)</f>
        <v>363.58813500000002</v>
      </c>
      <c r="AC61" s="15">
        <v>0</v>
      </c>
      <c r="AD61" s="15">
        <f t="shared" si="9"/>
        <v>2060.3327225108565</v>
      </c>
      <c r="AF61" s="9">
        <v>47939</v>
      </c>
      <c r="AG61" s="22">
        <v>2031</v>
      </c>
    </row>
    <row r="64" spans="1:33" x14ac:dyDescent="0.25">
      <c r="I64" s="6" t="s">
        <v>30</v>
      </c>
      <c r="J64" s="11" t="s">
        <v>31</v>
      </c>
      <c r="K64" s="11" t="s">
        <v>28</v>
      </c>
      <c r="L64" s="11" t="s">
        <v>32</v>
      </c>
      <c r="M64" s="6" t="s">
        <v>33</v>
      </c>
      <c r="W64" s="6" t="s">
        <v>30</v>
      </c>
      <c r="X64" s="11" t="s">
        <v>31</v>
      </c>
      <c r="AB64" s="16"/>
      <c r="AC64" s="16"/>
    </row>
    <row r="65" spans="9:25" x14ac:dyDescent="0.25">
      <c r="I65" s="22">
        <v>2026</v>
      </c>
      <c r="J65" s="13">
        <f>SUMIFS(aluguel[Receita do periodo],aluguel[Ano],$I65)</f>
        <v>6000</v>
      </c>
      <c r="K65" s="13">
        <f>SUMIFS(aluguel[Custos Totais],aluguel[Ano],$I65)</f>
        <v>2250</v>
      </c>
      <c r="L65" s="13">
        <f>SUMIFS(aluguel[Resultado Líquido],aluguel[Ano],$I65)</f>
        <v>3750</v>
      </c>
      <c r="M65" s="18">
        <f>L65/J65</f>
        <v>0.625</v>
      </c>
      <c r="W65" s="22">
        <v>2026</v>
      </c>
      <c r="X65" s="13">
        <f>SUMIFS(CDB_T[Receita Bruta],CDB_T[ano],W65)</f>
        <v>10008.597967025336</v>
      </c>
    </row>
    <row r="66" spans="9:25" x14ac:dyDescent="0.25">
      <c r="I66" s="22">
        <v>2027</v>
      </c>
      <c r="J66" s="13">
        <f>SUMIFS(aluguel[Receita do periodo],aluguel[Ano],$I66)</f>
        <v>9218.4</v>
      </c>
      <c r="K66" s="13">
        <f>SUMIFS(aluguel[Custos Totais],aluguel[Ano],$I66)</f>
        <v>3456.9000000000005</v>
      </c>
      <c r="L66" s="13">
        <f>SUMIFS(aluguel[Resultado Líquido],aluguel[Ano],$I66)</f>
        <v>5761.5</v>
      </c>
      <c r="M66" s="18">
        <f t="shared" ref="M66:M70" si="10">L66/J66</f>
        <v>0.625</v>
      </c>
      <c r="W66" s="22">
        <v>2027</v>
      </c>
      <c r="X66" s="13">
        <f>SUMIFS(CDB_T[Receita Bruta],CDB_T[ano],W66)</f>
        <v>16922.072584043537</v>
      </c>
    </row>
    <row r="67" spans="9:25" x14ac:dyDescent="0.25">
      <c r="I67" s="22">
        <v>2028</v>
      </c>
      <c r="J67" s="13">
        <f>SUMIFS(aluguel[Receita do periodo],aluguel[Ano],$I67)</f>
        <v>9553.9497599999995</v>
      </c>
      <c r="K67" s="13">
        <f>SUMIFS(aluguel[Custos Totais],aluguel[Ano],$I67)</f>
        <v>3582.7311599999994</v>
      </c>
      <c r="L67" s="13">
        <f>SUMIFS(aluguel[Resultado Líquido],aluguel[Ano],$I67)</f>
        <v>5971.2186000000002</v>
      </c>
      <c r="M67" s="18">
        <f t="shared" si="10"/>
        <v>0.625</v>
      </c>
      <c r="W67" s="22">
        <v>2028</v>
      </c>
      <c r="X67" s="13">
        <f>SUMIFS(CDB_T[Receita Bruta],CDB_T[ano],W67)</f>
        <v>19525.110398374851</v>
      </c>
    </row>
    <row r="68" spans="9:25" x14ac:dyDescent="0.25">
      <c r="I68" s="22">
        <v>2029</v>
      </c>
      <c r="J68" s="13">
        <f>SUMIFS(aluguel[Receita do periodo],aluguel[Ano],$I68)</f>
        <v>9901.7135312640003</v>
      </c>
      <c r="K68" s="13">
        <f>SUMIFS(aluguel[Custos Totais],aluguel[Ano],$I68)</f>
        <v>3713.1425742239999</v>
      </c>
      <c r="L68" s="13">
        <f>SUMIFS(aluguel[Resultado Líquido],aluguel[Ano],$I68)</f>
        <v>6188.5709570400013</v>
      </c>
      <c r="M68" s="18">
        <f t="shared" si="10"/>
        <v>0.62500000000000011</v>
      </c>
      <c r="W68" s="22">
        <v>2029</v>
      </c>
      <c r="X68" s="13">
        <f>SUMIFS(CDB_T[Receita Bruta],CDB_T[ano],W68)</f>
        <v>22528.56050473269</v>
      </c>
    </row>
    <row r="69" spans="9:25" x14ac:dyDescent="0.25">
      <c r="I69" s="22">
        <v>2030</v>
      </c>
      <c r="J69" s="13">
        <f>SUMIFS(aluguel[Receita do periodo],aluguel[Ano],$I69)</f>
        <v>10262.135903802013</v>
      </c>
      <c r="K69" s="13">
        <f>SUMIFS(aluguel[Custos Totais],aluguel[Ano],$I69)</f>
        <v>3848.300963925753</v>
      </c>
      <c r="L69" s="13">
        <f>SUMIFS(aluguel[Resultado Líquido],aluguel[Ano],$I69)</f>
        <v>6413.8349398762539</v>
      </c>
      <c r="M69" s="18">
        <f t="shared" si="10"/>
        <v>0.62499999999999956</v>
      </c>
      <c r="W69" s="22">
        <v>2030</v>
      </c>
      <c r="X69" s="13">
        <f>SUMIFS(CDB_T[Receita Bruta],CDB_T[ano],W69)</f>
        <v>25994.016322930369</v>
      </c>
    </row>
    <row r="70" spans="9:25" x14ac:dyDescent="0.25">
      <c r="I70" s="22">
        <v>2031</v>
      </c>
      <c r="J70" s="13">
        <f>SUMIFS(aluguel[Receita do periodo],aluguel[Ano],$I70)</f>
        <v>3461.2332890850048</v>
      </c>
      <c r="K70" s="13">
        <f>SUMIFS(aluguel[Custos Totais],aluguel[Ano],$I70)</f>
        <v>1297.9624834068768</v>
      </c>
      <c r="L70" s="13">
        <f>SUMIFS(aluguel[Resultado Líquido],aluguel[Ano],$I70)</f>
        <v>2163.2708056781275</v>
      </c>
      <c r="M70" s="18">
        <f t="shared" si="10"/>
        <v>0.62499999999999989</v>
      </c>
      <c r="W70" s="22">
        <v>2031</v>
      </c>
      <c r="X70" s="13">
        <f>SUMIFS(CDB_T[Receita Bruta],CDB_T[ano],W70)</f>
        <v>9524.6609128649307</v>
      </c>
    </row>
    <row r="73" spans="9:25" x14ac:dyDescent="0.25">
      <c r="W73" s="6" t="s">
        <v>34</v>
      </c>
      <c r="X73" s="11" t="s">
        <v>31</v>
      </c>
      <c r="Y73" s="11" t="s">
        <v>35</v>
      </c>
    </row>
    <row r="74" spans="9:25" x14ac:dyDescent="0.25">
      <c r="W74" s="16">
        <f>X74*0.15</f>
        <v>15675.452803495755</v>
      </c>
      <c r="X74" s="16">
        <f>SUM(X65:X70)</f>
        <v>104503.01868997171</v>
      </c>
      <c r="Y74" s="16">
        <f>X74-W74</f>
        <v>88827.565886475961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3DF0-A48F-4134-A5C7-587B4BB85443}">
  <dimension ref="A1"/>
  <sheetViews>
    <sheetView topLeftCell="A15" workbookViewId="0">
      <selection activeCell="N29" sqref="N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19AB-B5C3-438A-BEA8-C1ECB6C27021}">
  <sheetPr codeName="Planilha4"/>
  <dimension ref="A1"/>
  <sheetViews>
    <sheetView topLeftCell="A36" workbookViewId="0">
      <selection activeCell="I53" sqref="I53"/>
    </sheetView>
  </sheetViews>
  <sheetFormatPr defaultRowHeight="15" x14ac:dyDescent="0.25"/>
  <cols>
    <col min="1" max="20" width="9.140625" customWidth="1"/>
    <col min="21" max="60" width="19.5703125" bestFit="1" customWidth="1"/>
    <col min="61" max="61" width="12.140625" bestFit="1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9C35-0487-4762-B14A-3148809F6C30}">
  <sheetPr codeName="Planilha5"/>
  <dimension ref="A1"/>
  <sheetViews>
    <sheetView zoomScale="55" zoomScaleNormal="55" workbookViewId="0">
      <selection activeCell="AA33" sqref="AA3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81E0-A820-4A5A-AF04-B55AF0B118F3}">
  <sheetPr codeName="Planilha3"/>
  <dimension ref="A1:B61"/>
  <sheetViews>
    <sheetView workbookViewId="0">
      <selection activeCell="G12" sqref="G12"/>
    </sheetView>
  </sheetViews>
  <sheetFormatPr defaultRowHeight="15" x14ac:dyDescent="0.25"/>
  <sheetData>
    <row r="1" spans="1:2" x14ac:dyDescent="0.25">
      <c r="A1" t="s">
        <v>16</v>
      </c>
      <c r="B1" t="s">
        <v>14</v>
      </c>
    </row>
    <row r="2" spans="1:2" x14ac:dyDescent="0.25">
      <c r="A2" s="2">
        <v>46143</v>
      </c>
      <c r="B2">
        <v>1199.4911318882901</v>
      </c>
    </row>
    <row r="3" spans="1:2" x14ac:dyDescent="0.25">
      <c r="A3" s="2">
        <v>46174</v>
      </c>
      <c r="B3">
        <v>1213.87892126058</v>
      </c>
    </row>
    <row r="4" spans="1:2" x14ac:dyDescent="0.25">
      <c r="A4" s="2">
        <v>46204</v>
      </c>
      <c r="B4">
        <v>1228.43929221743</v>
      </c>
    </row>
    <row r="5" spans="1:2" x14ac:dyDescent="0.25">
      <c r="A5" s="2">
        <v>46235</v>
      </c>
      <c r="B5">
        <v>1243.1743114820699</v>
      </c>
    </row>
    <row r="6" spans="1:2" x14ac:dyDescent="0.25">
      <c r="A6" s="2">
        <v>46266</v>
      </c>
      <c r="B6">
        <v>1258.0860781639699</v>
      </c>
    </row>
    <row r="7" spans="1:2" x14ac:dyDescent="0.25">
      <c r="A7" s="2">
        <v>46296</v>
      </c>
      <c r="B7">
        <v>1273.1767081655</v>
      </c>
    </row>
    <row r="8" spans="1:2" x14ac:dyDescent="0.25">
      <c r="A8" s="2">
        <v>46327</v>
      </c>
      <c r="B8">
        <v>1288.4483497752699</v>
      </c>
    </row>
    <row r="9" spans="1:2" x14ac:dyDescent="0.25">
      <c r="A9" s="2">
        <v>46357</v>
      </c>
      <c r="B9">
        <v>1303.9031740722301</v>
      </c>
    </row>
    <row r="10" spans="1:2" x14ac:dyDescent="0.25">
      <c r="A10" s="2">
        <v>46388</v>
      </c>
      <c r="B10">
        <v>1319.54337732463</v>
      </c>
    </row>
    <row r="11" spans="1:2" x14ac:dyDescent="0.25">
      <c r="A11" s="2">
        <v>46419</v>
      </c>
      <c r="B11">
        <v>1335.3711821895599</v>
      </c>
    </row>
    <row r="12" spans="1:2" x14ac:dyDescent="0.25">
      <c r="A12" s="2">
        <v>46447</v>
      </c>
      <c r="B12">
        <v>1351.38884131135</v>
      </c>
    </row>
    <row r="13" spans="1:2" x14ac:dyDescent="0.25">
      <c r="A13" s="2">
        <v>46478</v>
      </c>
      <c r="B13">
        <v>1367.5986313241699</v>
      </c>
    </row>
    <row r="14" spans="1:2" x14ac:dyDescent="0.25">
      <c r="A14" s="2">
        <v>46508</v>
      </c>
      <c r="B14">
        <v>1384.002855251</v>
      </c>
    </row>
    <row r="15" spans="1:2" x14ac:dyDescent="0.25">
      <c r="A15" s="2">
        <v>46539</v>
      </c>
      <c r="B15">
        <v>1400.6038473015799</v>
      </c>
    </row>
    <row r="16" spans="1:2" x14ac:dyDescent="0.25">
      <c r="A16" s="2">
        <v>46569</v>
      </c>
      <c r="B16">
        <v>1417.4039656754701</v>
      </c>
    </row>
    <row r="17" spans="1:2" x14ac:dyDescent="0.25">
      <c r="A17" s="2">
        <v>46600</v>
      </c>
      <c r="B17">
        <v>1434.4056009584999</v>
      </c>
    </row>
    <row r="18" spans="1:2" x14ac:dyDescent="0.25">
      <c r="A18" s="2">
        <v>46631</v>
      </c>
      <c r="B18">
        <v>1451.61116892581</v>
      </c>
    </row>
    <row r="19" spans="1:2" x14ac:dyDescent="0.25">
      <c r="A19" s="2">
        <v>46661</v>
      </c>
      <c r="B19">
        <v>1469.0231153398099</v>
      </c>
    </row>
    <row r="20" spans="1:2" x14ac:dyDescent="0.25">
      <c r="A20" s="2">
        <v>46692</v>
      </c>
      <c r="B20">
        <v>1486.6439183492</v>
      </c>
    </row>
    <row r="21" spans="1:2" x14ac:dyDescent="0.25">
      <c r="A21" s="2">
        <v>46722</v>
      </c>
      <c r="B21">
        <v>1504.47608009245</v>
      </c>
    </row>
    <row r="22" spans="1:2" x14ac:dyDescent="0.25">
      <c r="A22" s="2">
        <v>46753</v>
      </c>
      <c r="B22">
        <v>1522.5221374933301</v>
      </c>
    </row>
    <row r="23" spans="1:2" x14ac:dyDescent="0.25">
      <c r="A23" s="2">
        <v>46784</v>
      </c>
      <c r="B23">
        <v>1540.7846550638701</v>
      </c>
    </row>
    <row r="24" spans="1:2" x14ac:dyDescent="0.25">
      <c r="A24" s="2">
        <v>46813</v>
      </c>
      <c r="B24">
        <v>1559.2662297023701</v>
      </c>
    </row>
    <row r="25" spans="1:2" x14ac:dyDescent="0.25">
      <c r="A25" s="2">
        <v>46844</v>
      </c>
      <c r="B25">
        <v>1577.9694906933901</v>
      </c>
    </row>
    <row r="26" spans="1:2" x14ac:dyDescent="0.25">
      <c r="A26" s="2">
        <v>46874</v>
      </c>
      <c r="B26">
        <v>1596.8970949098</v>
      </c>
    </row>
    <row r="27" spans="1:2" x14ac:dyDescent="0.25">
      <c r="A27" s="2">
        <v>46905</v>
      </c>
      <c r="B27">
        <v>1616.0517340096801</v>
      </c>
    </row>
    <row r="28" spans="1:2" x14ac:dyDescent="0.25">
      <c r="A28" s="2">
        <v>46935</v>
      </c>
      <c r="B28">
        <v>1635.43613083791</v>
      </c>
    </row>
    <row r="29" spans="1:2" x14ac:dyDescent="0.25">
      <c r="A29" s="2">
        <v>46966</v>
      </c>
      <c r="B29">
        <v>1655.0530418251101</v>
      </c>
    </row>
    <row r="30" spans="1:2" x14ac:dyDescent="0.25">
      <c r="A30" s="2">
        <v>46997</v>
      </c>
      <c r="B30">
        <v>1674.9052569876501</v>
      </c>
    </row>
    <row r="31" spans="1:2" x14ac:dyDescent="0.25">
      <c r="A31" s="2">
        <v>47027</v>
      </c>
      <c r="B31">
        <v>1694.99559632918</v>
      </c>
    </row>
    <row r="32" spans="1:2" x14ac:dyDescent="0.25">
      <c r="A32" s="2">
        <v>47058</v>
      </c>
      <c r="B32">
        <v>1715.32691823708</v>
      </c>
    </row>
    <row r="33" spans="1:2" x14ac:dyDescent="0.25">
      <c r="A33" s="2">
        <v>47088</v>
      </c>
      <c r="B33">
        <v>1735.9021122854799</v>
      </c>
    </row>
    <row r="34" spans="1:2" x14ac:dyDescent="0.25">
      <c r="A34" s="2">
        <v>47119</v>
      </c>
      <c r="B34">
        <v>1756.7241040332401</v>
      </c>
    </row>
    <row r="35" spans="1:2" x14ac:dyDescent="0.25">
      <c r="A35" s="2">
        <v>47150</v>
      </c>
      <c r="B35">
        <v>1777.79585502397</v>
      </c>
    </row>
    <row r="36" spans="1:2" x14ac:dyDescent="0.25">
      <c r="A36" s="2">
        <v>47178</v>
      </c>
      <c r="B36">
        <v>1799.1203579880601</v>
      </c>
    </row>
    <row r="37" spans="1:2" x14ac:dyDescent="0.25">
      <c r="A37" s="2">
        <v>47209</v>
      </c>
      <c r="B37">
        <v>1820.70064763805</v>
      </c>
    </row>
    <row r="38" spans="1:2" x14ac:dyDescent="0.25">
      <c r="A38" s="2">
        <v>47239</v>
      </c>
      <c r="B38">
        <v>1842.5397898732899</v>
      </c>
    </row>
    <row r="39" spans="1:2" x14ac:dyDescent="0.25">
      <c r="A39" s="2">
        <v>47270</v>
      </c>
      <c r="B39">
        <v>1864.6408913758</v>
      </c>
    </row>
    <row r="40" spans="1:2" x14ac:dyDescent="0.25">
      <c r="A40" s="2">
        <v>47300</v>
      </c>
      <c r="B40">
        <v>1887.00709361286</v>
      </c>
    </row>
    <row r="41" spans="1:2" x14ac:dyDescent="0.25">
      <c r="A41" s="2">
        <v>47331</v>
      </c>
      <c r="B41">
        <v>1909.6415764354599</v>
      </c>
    </row>
    <row r="42" spans="1:2" x14ac:dyDescent="0.25">
      <c r="A42" s="2">
        <v>47362</v>
      </c>
      <c r="B42">
        <v>1932.54755807831</v>
      </c>
    </row>
    <row r="43" spans="1:2" x14ac:dyDescent="0.25">
      <c r="A43" s="2">
        <v>47392</v>
      </c>
      <c r="B43">
        <v>1955.7282939603399</v>
      </c>
    </row>
    <row r="44" spans="1:2" x14ac:dyDescent="0.25">
      <c r="A44" s="2">
        <v>47423</v>
      </c>
      <c r="B44">
        <v>1979.18708148267</v>
      </c>
    </row>
    <row r="45" spans="1:2" x14ac:dyDescent="0.25">
      <c r="A45" s="2">
        <v>47453</v>
      </c>
      <c r="B45">
        <v>2002.92725523065</v>
      </c>
    </row>
    <row r="46" spans="1:2" x14ac:dyDescent="0.25">
      <c r="A46" s="2">
        <v>47484</v>
      </c>
      <c r="B46">
        <v>2026.95219057232</v>
      </c>
    </row>
    <row r="47" spans="1:2" x14ac:dyDescent="0.25">
      <c r="A47" s="2">
        <v>47515</v>
      </c>
      <c r="B47">
        <v>2051.2653012594401</v>
      </c>
    </row>
    <row r="48" spans="1:2" x14ac:dyDescent="0.25">
      <c r="A48" s="2">
        <v>47543</v>
      </c>
      <c r="B48">
        <v>2075.87004662444</v>
      </c>
    </row>
    <row r="49" spans="1:2" x14ac:dyDescent="0.25">
      <c r="A49" s="2">
        <v>47574</v>
      </c>
      <c r="B49">
        <v>2100.76992438346</v>
      </c>
    </row>
    <row r="50" spans="1:2" x14ac:dyDescent="0.25">
      <c r="A50" s="2">
        <v>47604</v>
      </c>
      <c r="B50">
        <v>2125.9684730353401</v>
      </c>
    </row>
    <row r="51" spans="1:2" x14ac:dyDescent="0.25">
      <c r="A51" s="2">
        <v>47635</v>
      </c>
      <c r="B51">
        <v>2151.4692766595799</v>
      </c>
    </row>
    <row r="52" spans="1:2" x14ac:dyDescent="0.25">
      <c r="A52" s="2">
        <v>47665</v>
      </c>
      <c r="B52">
        <v>2177.2759601183802</v>
      </c>
    </row>
    <row r="53" spans="1:2" x14ac:dyDescent="0.25">
      <c r="A53" s="2">
        <v>47696</v>
      </c>
      <c r="B53">
        <v>2203.3921914556199</v>
      </c>
    </row>
    <row r="54" spans="1:2" x14ac:dyDescent="0.25">
      <c r="A54" s="2">
        <v>47727</v>
      </c>
      <c r="B54">
        <v>2229.8216854953398</v>
      </c>
    </row>
    <row r="55" spans="1:2" x14ac:dyDescent="0.25">
      <c r="A55" s="2">
        <v>47757</v>
      </c>
      <c r="B55">
        <v>2256.5681990437602</v>
      </c>
    </row>
    <row r="56" spans="1:2" x14ac:dyDescent="0.25">
      <c r="A56" s="2">
        <v>47788</v>
      </c>
      <c r="B56">
        <v>2283.6355344877702</v>
      </c>
    </row>
    <row r="57" spans="1:2" x14ac:dyDescent="0.25">
      <c r="A57" s="2">
        <v>47818</v>
      </c>
      <c r="B57">
        <v>2311.0275397949199</v>
      </c>
    </row>
    <row r="58" spans="1:2" x14ac:dyDescent="0.25">
      <c r="A58" s="2">
        <v>47849</v>
      </c>
      <c r="B58">
        <v>2338.7481109124101</v>
      </c>
    </row>
    <row r="59" spans="1:2" x14ac:dyDescent="0.25">
      <c r="A59" s="2">
        <v>47880</v>
      </c>
      <c r="B59">
        <v>2366.80118696912</v>
      </c>
    </row>
    <row r="60" spans="1:2" x14ac:dyDescent="0.25">
      <c r="A60" s="2">
        <v>47908</v>
      </c>
      <c r="B60">
        <v>2395.1907574725401</v>
      </c>
    </row>
    <row r="61" spans="1:2" x14ac:dyDescent="0.25">
      <c r="A61" s="2">
        <v>47939</v>
      </c>
      <c r="B61">
        <v>2423.9208575108601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9</vt:i4>
      </vt:variant>
    </vt:vector>
  </HeadingPairs>
  <TitlesOfParts>
    <vt:vector size="15" baseType="lpstr">
      <vt:lpstr>informações basicas</vt:lpstr>
      <vt:lpstr>rendimentos mensais calculos</vt:lpstr>
      <vt:lpstr>Aluguel</vt:lpstr>
      <vt:lpstr>Poupança</vt:lpstr>
      <vt:lpstr>CDB</vt:lpstr>
      <vt:lpstr>bases para graficos</vt:lpstr>
      <vt:lpstr>ADMIN_IMOB</vt:lpstr>
      <vt:lpstr>CDB</vt:lpstr>
      <vt:lpstr>CDI</vt:lpstr>
      <vt:lpstr>data_inicial</vt:lpstr>
      <vt:lpstr>IGPM</vt:lpstr>
      <vt:lpstr>IPCA</vt:lpstr>
      <vt:lpstr>selic</vt:lpstr>
      <vt:lpstr>TR</vt:lpstr>
      <vt:lpstr>VALOR_IMOVEL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leite</dc:creator>
  <cp:lastModifiedBy>sergio leite</cp:lastModifiedBy>
  <dcterms:created xsi:type="dcterms:W3CDTF">2015-06-05T18:19:34Z</dcterms:created>
  <dcterms:modified xsi:type="dcterms:W3CDTF">2026-04-28T12:15:44Z</dcterms:modified>
</cp:coreProperties>
</file>