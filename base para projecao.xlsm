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44c8030bfb8e663c/00 caixa/AAA PRODUÇÕES TEMÁTICAS/selecao_Precificacao/"/>
    </mc:Choice>
  </mc:AlternateContent>
  <xr:revisionPtr revIDLastSave="64" documentId="13_ncr:1_{F0725620-E73A-4D38-BF74-F3328B9A10C8}" xr6:coauthVersionLast="47" xr6:coauthVersionMax="47" xr10:uidLastSave="{86F92B21-9B8B-4CA1-8726-C8B32B5E1EE7}"/>
  <bookViews>
    <workbookView xWindow="-21720" yWindow="-120" windowWidth="21840" windowHeight="13020" activeTab="1" xr2:uid="{00000000-000D-0000-FFFF-FFFF00000000}"/>
  </bookViews>
  <sheets>
    <sheet name="informações basicas" sheetId="1" r:id="rId1"/>
    <sheet name="rendimentos mensais calculos" sheetId="2" r:id="rId2"/>
  </sheets>
  <functionGroups builtInGroupCount="19"/>
  <definedNames>
    <definedName name="ADMIN_IMOB">'informações basicas'!$B$8</definedName>
    <definedName name="CDB">'informações basicas'!$B$7</definedName>
    <definedName name="CDI">'informações basicas'!$B$4</definedName>
    <definedName name="data_inicial">Tabela2[Inicio]</definedName>
    <definedName name="IGPM">'informações basicas'!$B$5</definedName>
    <definedName name="IPCA">'informações basicas'!$B$6</definedName>
    <definedName name="selic">'informações basicas'!$B$2</definedName>
    <definedName name="TR">'informações basicas'!$B$3</definedName>
    <definedName name="VALOR_IMOVEL">'informações basicas'!$B$9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" i="2" l="1"/>
  <c r="N2" i="2"/>
  <c r="M4" i="2" a="1"/>
  <c r="M4" i="2" s="1"/>
  <c r="M5" i="2" a="1"/>
  <c r="M5" i="2" s="1"/>
  <c r="M6" i="2" a="1"/>
  <c r="M6" i="2" s="1"/>
  <c r="M7" i="2" a="1"/>
  <c r="M7" i="2" s="1"/>
  <c r="M8" i="2" a="1"/>
  <c r="M8" i="2" s="1"/>
  <c r="M9" i="2" a="1"/>
  <c r="M9" i="2" s="1"/>
  <c r="M10" i="2" a="1"/>
  <c r="M10" i="2" s="1"/>
  <c r="M11" i="2" a="1"/>
  <c r="M11" i="2" s="1"/>
  <c r="M12" i="2" a="1"/>
  <c r="M12" i="2" s="1"/>
  <c r="M13" i="2" a="1"/>
  <c r="M13" i="2" s="1"/>
  <c r="M14" i="2" a="1"/>
  <c r="M14" i="2" s="1"/>
  <c r="M15" i="2" a="1"/>
  <c r="M15" i="2" s="1"/>
  <c r="M16" i="2" a="1"/>
  <c r="M16" i="2" s="1"/>
  <c r="M17" i="2" a="1"/>
  <c r="M17" i="2" s="1"/>
  <c r="M18" i="2" a="1"/>
  <c r="M18" i="2" s="1"/>
  <c r="M19" i="2" a="1"/>
  <c r="M19" i="2" s="1"/>
  <c r="M20" i="2" a="1"/>
  <c r="M20" i="2" s="1"/>
  <c r="M21" i="2" a="1"/>
  <c r="M21" i="2" s="1"/>
  <c r="M22" i="2" a="1"/>
  <c r="M22" i="2" s="1"/>
  <c r="M23" i="2" a="1"/>
  <c r="M23" i="2" s="1"/>
  <c r="M24" i="2" a="1"/>
  <c r="M24" i="2" s="1"/>
  <c r="M25" i="2" a="1"/>
  <c r="M25" i="2" s="1"/>
  <c r="M26" i="2" a="1"/>
  <c r="M26" i="2" s="1"/>
  <c r="M27" i="2" a="1"/>
  <c r="M27" i="2" s="1"/>
  <c r="M28" i="2" a="1"/>
  <c r="M28" i="2" s="1"/>
  <c r="M29" i="2" a="1"/>
  <c r="M29" i="2" s="1"/>
  <c r="M30" i="2" a="1"/>
  <c r="M30" i="2" s="1"/>
  <c r="M31" i="2" a="1"/>
  <c r="M31" i="2" s="1"/>
  <c r="M32" i="2" a="1"/>
  <c r="M32" i="2" s="1"/>
  <c r="M33" i="2" a="1"/>
  <c r="M33" i="2" s="1"/>
  <c r="M34" i="2" a="1"/>
  <c r="M34" i="2" s="1"/>
  <c r="M35" i="2" a="1"/>
  <c r="M35" i="2" s="1"/>
  <c r="M36" i="2" a="1"/>
  <c r="M36" i="2" s="1"/>
  <c r="M37" i="2" a="1"/>
  <c r="M37" i="2" s="1"/>
  <c r="M38" i="2" a="1"/>
  <c r="M38" i="2" s="1"/>
  <c r="M39" i="2" a="1"/>
  <c r="M39" i="2" s="1"/>
  <c r="M40" i="2" a="1"/>
  <c r="M40" i="2" s="1"/>
  <c r="M41" i="2" a="1"/>
  <c r="M41" i="2" s="1"/>
  <c r="M42" i="2" a="1"/>
  <c r="M42" i="2" s="1"/>
  <c r="M43" i="2" a="1"/>
  <c r="M43" i="2" s="1"/>
  <c r="M44" i="2" a="1"/>
  <c r="M44" i="2" s="1"/>
  <c r="M45" i="2" a="1"/>
  <c r="M45" i="2" s="1"/>
  <c r="M46" i="2" a="1"/>
  <c r="M46" i="2" s="1"/>
  <c r="M47" i="2" a="1"/>
  <c r="M47" i="2" s="1"/>
  <c r="M48" i="2" a="1"/>
  <c r="M48" i="2" s="1"/>
  <c r="M49" i="2" a="1"/>
  <c r="M49" i="2" s="1"/>
  <c r="M50" i="2" a="1"/>
  <c r="M50" i="2" s="1"/>
  <c r="M51" i="2" a="1"/>
  <c r="M51" i="2" s="1"/>
  <c r="M52" i="2" a="1"/>
  <c r="M52" i="2" s="1"/>
  <c r="M53" i="2" a="1"/>
  <c r="M53" i="2" s="1"/>
  <c r="M54" i="2" a="1"/>
  <c r="M54" i="2" s="1"/>
  <c r="M55" i="2" a="1"/>
  <c r="M55" i="2" s="1"/>
  <c r="M56" i="2" a="1"/>
  <c r="M56" i="2" s="1"/>
  <c r="M57" i="2" a="1"/>
  <c r="M57" i="2" s="1"/>
  <c r="M58" i="2" a="1"/>
  <c r="M58" i="2" s="1"/>
  <c r="M59" i="2" a="1"/>
  <c r="M59" i="2" s="1"/>
  <c r="M60" i="2" a="1"/>
  <c r="M60" i="2" s="1"/>
  <c r="M61" i="2" a="1"/>
  <c r="M61" i="2" s="1"/>
  <c r="M3" i="2" a="1"/>
  <c r="M3" i="2" s="1"/>
  <c r="O2" i="2"/>
  <c r="D62" i="2" a="1"/>
  <c r="D62" i="2" s="1"/>
  <c r="E62" i="2" s="1" a="1"/>
  <c r="E62" i="2" s="1"/>
  <c r="D2" i="2" a="1"/>
  <c r="D2" i="2" s="1"/>
  <c r="P2" i="2" l="1"/>
  <c r="N4" i="2"/>
  <c r="O4" i="2"/>
  <c r="N5" i="2"/>
  <c r="O5" i="2"/>
  <c r="O6" i="2"/>
  <c r="N6" i="2"/>
  <c r="P6" i="2" s="1"/>
  <c r="O7" i="2"/>
  <c r="N7" i="2"/>
  <c r="P7" i="2" s="1"/>
  <c r="O8" i="2"/>
  <c r="N8" i="2"/>
  <c r="P8" i="2" s="1"/>
  <c r="O9" i="2"/>
  <c r="N9" i="2"/>
  <c r="P9" i="2" s="1"/>
  <c r="O10" i="2"/>
  <c r="N10" i="2"/>
  <c r="P10" i="2" s="1"/>
  <c r="N11" i="2"/>
  <c r="O11" i="2"/>
  <c r="O12" i="2"/>
  <c r="N12" i="2"/>
  <c r="P12" i="2" s="1"/>
  <c r="N13" i="2"/>
  <c r="O13" i="2"/>
  <c r="P13" i="2" s="1"/>
  <c r="N14" i="2"/>
  <c r="O14" i="2"/>
  <c r="N15" i="2"/>
  <c r="O15" i="2"/>
  <c r="P15" i="2" s="1"/>
  <c r="N16" i="2"/>
  <c r="O16" i="2"/>
  <c r="P16" i="2" s="1"/>
  <c r="O17" i="2"/>
  <c r="N17" i="2"/>
  <c r="P17" i="2" s="1"/>
  <c r="N18" i="2"/>
  <c r="O18" i="2"/>
  <c r="P18" i="2" s="1"/>
  <c r="N19" i="2"/>
  <c r="O19" i="2"/>
  <c r="N20" i="2"/>
  <c r="P20" i="2" s="1"/>
  <c r="O20" i="2"/>
  <c r="O21" i="2"/>
  <c r="N21" i="2"/>
  <c r="P21" i="2" s="1"/>
  <c r="N22" i="2"/>
  <c r="O22" i="2"/>
  <c r="N23" i="2"/>
  <c r="O23" i="2"/>
  <c r="N24" i="2"/>
  <c r="O24" i="2"/>
  <c r="N25" i="2"/>
  <c r="P25" i="2" s="1"/>
  <c r="O25" i="2"/>
  <c r="N26" i="2"/>
  <c r="O26" i="2"/>
  <c r="O27" i="2"/>
  <c r="N27" i="2"/>
  <c r="P27" i="2" s="1"/>
  <c r="O28" i="2"/>
  <c r="N28" i="2"/>
  <c r="P28" i="2" s="1"/>
  <c r="N29" i="2"/>
  <c r="O29" i="2"/>
  <c r="O30" i="2"/>
  <c r="N30" i="2"/>
  <c r="P30" i="2" s="1"/>
  <c r="O31" i="2"/>
  <c r="N31" i="2"/>
  <c r="P31" i="2" s="1"/>
  <c r="O32" i="2"/>
  <c r="N32" i="2"/>
  <c r="P32" i="2" s="1"/>
  <c r="N33" i="2"/>
  <c r="O33" i="2"/>
  <c r="O34" i="2"/>
  <c r="N34" i="2"/>
  <c r="P34" i="2" s="1"/>
  <c r="O35" i="2"/>
  <c r="N35" i="2"/>
  <c r="P35" i="2" s="1"/>
  <c r="O36" i="2"/>
  <c r="N36" i="2"/>
  <c r="P36" i="2"/>
  <c r="O37" i="2"/>
  <c r="N37" i="2"/>
  <c r="P37" i="2"/>
  <c r="O38" i="2"/>
  <c r="N38" i="2"/>
  <c r="P38" i="2" s="1"/>
  <c r="O39" i="2"/>
  <c r="N39" i="2"/>
  <c r="P39" i="2" s="1"/>
  <c r="N40" i="2"/>
  <c r="O40" i="2"/>
  <c r="P40" i="2"/>
  <c r="O41" i="2"/>
  <c r="N41" i="2"/>
  <c r="P41" i="2" s="1"/>
  <c r="N42" i="2"/>
  <c r="O42" i="2"/>
  <c r="N43" i="2"/>
  <c r="O43" i="2"/>
  <c r="O44" i="2"/>
  <c r="N44" i="2"/>
  <c r="P44" i="2" s="1"/>
  <c r="O45" i="2"/>
  <c r="N45" i="2"/>
  <c r="N46" i="2"/>
  <c r="O46" i="2"/>
  <c r="P46" i="2"/>
  <c r="N47" i="2"/>
  <c r="O47" i="2"/>
  <c r="P47" i="2"/>
  <c r="N48" i="2"/>
  <c r="O48" i="2"/>
  <c r="P48" i="2" s="1"/>
  <c r="N49" i="2"/>
  <c r="O49" i="2"/>
  <c r="P49" i="2"/>
  <c r="O50" i="2"/>
  <c r="N50" i="2"/>
  <c r="P50" i="2" s="1"/>
  <c r="N51" i="2"/>
  <c r="O51" i="2"/>
  <c r="P51" i="2" s="1"/>
  <c r="N52" i="2"/>
  <c r="O52" i="2"/>
  <c r="P52" i="2"/>
  <c r="N53" i="2"/>
  <c r="O53" i="2"/>
  <c r="N54" i="2"/>
  <c r="O54" i="2"/>
  <c r="P54" i="2"/>
  <c r="N55" i="2"/>
  <c r="O55" i="2"/>
  <c r="N56" i="2"/>
  <c r="O56" i="2"/>
  <c r="O57" i="2"/>
  <c r="N57" i="2"/>
  <c r="P57" i="2" s="1"/>
  <c r="N58" i="2"/>
  <c r="P58" i="2" s="1"/>
  <c r="O58" i="2"/>
  <c r="O59" i="2"/>
  <c r="N59" i="2"/>
  <c r="P59" i="2" s="1"/>
  <c r="N60" i="2"/>
  <c r="O60" i="2"/>
  <c r="O61" i="2"/>
  <c r="N61" i="2"/>
  <c r="N3" i="2"/>
  <c r="O3" i="2"/>
  <c r="P3" i="2"/>
  <c r="L4" i="2" s="1"/>
  <c r="G62" i="2"/>
  <c r="C63" i="2" s="1"/>
  <c r="C3" i="2"/>
  <c r="G2" i="2"/>
  <c r="P4" i="2" l="1"/>
  <c r="L5" i="2" s="1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P23" i="2"/>
  <c r="P29" i="2"/>
  <c r="P11" i="2"/>
  <c r="P55" i="2"/>
  <c r="P43" i="2"/>
  <c r="P33" i="2"/>
  <c r="P42" i="2"/>
  <c r="P5" i="2"/>
  <c r="P14" i="2"/>
  <c r="P19" i="2"/>
  <c r="P22" i="2"/>
  <c r="P24" i="2"/>
  <c r="P26" i="2"/>
  <c r="P61" i="2"/>
  <c r="P45" i="2"/>
  <c r="P53" i="2"/>
  <c r="P60" i="2"/>
  <c r="P56" i="2"/>
  <c r="D63" i="2" a="1"/>
  <c r="D63" i="2" s="1"/>
  <c r="D3" i="2" a="1"/>
  <c r="D3" i="2" s="1"/>
  <c r="E63" i="2" l="1" a="1"/>
  <c r="E63" i="2" s="1"/>
  <c r="G63" i="2" s="1"/>
  <c r="C64" i="2" s="1"/>
  <c r="D64" i="2" s="1" a="1"/>
  <c r="D64" i="2" s="1"/>
  <c r="E64" i="2" s="1" a="1"/>
  <c r="E64" i="2" s="1"/>
  <c r="G3" i="2"/>
  <c r="C4" i="2"/>
  <c r="G64" i="2" l="1"/>
  <c r="C65" i="2" s="1"/>
  <c r="D4" i="2" a="1"/>
  <c r="D4" i="2" s="1"/>
  <c r="D65" i="2" l="1" a="1"/>
  <c r="D65" i="2" s="1"/>
  <c r="G4" i="2"/>
  <c r="C5" i="2"/>
  <c r="E65" i="2" l="1" a="1"/>
  <c r="E65" i="2" s="1"/>
  <c r="G65" i="2" s="1"/>
  <c r="C66" i="2" s="1"/>
  <c r="D5" i="2" a="1"/>
  <c r="D5" i="2" s="1"/>
  <c r="D66" i="2" l="1" a="1"/>
  <c r="D66" i="2" s="1"/>
  <c r="G5" i="2"/>
  <c r="C6" i="2"/>
  <c r="E66" i="2" l="1" a="1"/>
  <c r="E66" i="2" s="1"/>
  <c r="G66" i="2" s="1"/>
  <c r="C67" i="2" s="1"/>
  <c r="D6" i="2" a="1"/>
  <c r="D6" i="2" s="1"/>
  <c r="D67" i="2" l="1" a="1"/>
  <c r="D67" i="2" s="1"/>
  <c r="G6" i="2"/>
  <c r="C7" i="2"/>
  <c r="E67" i="2" l="1" a="1"/>
  <c r="E67" i="2" s="1"/>
  <c r="G67" i="2" s="1"/>
  <c r="C68" i="2" s="1"/>
  <c r="D7" i="2" a="1"/>
  <c r="D7" i="2" s="1"/>
  <c r="D68" i="2" l="1" a="1"/>
  <c r="D68" i="2" s="1"/>
  <c r="G7" i="2"/>
  <c r="C8" i="2"/>
  <c r="E68" i="2" l="1" a="1"/>
  <c r="E68" i="2" s="1"/>
  <c r="G68" i="2" s="1"/>
  <c r="C69" i="2" s="1"/>
  <c r="D8" i="2" a="1"/>
  <c r="D8" i="2" s="1"/>
  <c r="D69" i="2" l="1" a="1"/>
  <c r="D69" i="2" s="1"/>
  <c r="G8" i="2"/>
  <c r="C9" i="2"/>
  <c r="E69" i="2" l="1" a="1"/>
  <c r="E69" i="2" s="1"/>
  <c r="G69" i="2" s="1"/>
  <c r="C70" i="2" s="1"/>
  <c r="D9" i="2" a="1"/>
  <c r="D9" i="2" s="1"/>
  <c r="D70" i="2" l="1" a="1"/>
  <c r="D70" i="2" s="1"/>
  <c r="G9" i="2"/>
  <c r="C10" i="2"/>
  <c r="E70" i="2" l="1" a="1"/>
  <c r="E70" i="2" s="1"/>
  <c r="G70" i="2" s="1"/>
  <c r="C71" i="2" s="1"/>
  <c r="D10" i="2" a="1"/>
  <c r="D10" i="2" s="1"/>
  <c r="D71" i="2" l="1" a="1"/>
  <c r="D71" i="2" s="1"/>
  <c r="G10" i="2"/>
  <c r="C11" i="2"/>
  <c r="E71" i="2" l="1" a="1"/>
  <c r="E71" i="2" s="1"/>
  <c r="G71" i="2" s="1"/>
  <c r="C72" i="2" s="1"/>
  <c r="D11" i="2" a="1"/>
  <c r="D11" i="2" s="1"/>
  <c r="D72" i="2" l="1" a="1"/>
  <c r="D72" i="2" s="1"/>
  <c r="G11" i="2"/>
  <c r="C12" i="2"/>
  <c r="E72" i="2" l="1" a="1"/>
  <c r="E72" i="2" s="1"/>
  <c r="G72" i="2" s="1"/>
  <c r="C73" i="2" s="1"/>
  <c r="D12" i="2" a="1"/>
  <c r="D12" i="2" s="1"/>
  <c r="D73" i="2" l="1" a="1"/>
  <c r="D73" i="2" s="1"/>
  <c r="G12" i="2"/>
  <c r="C13" i="2"/>
  <c r="E73" i="2" l="1" a="1"/>
  <c r="E73" i="2" s="1"/>
  <c r="G73" i="2" s="1"/>
  <c r="C74" i="2" s="1"/>
  <c r="D13" i="2" a="1"/>
  <c r="D13" i="2" s="1"/>
  <c r="D74" i="2" l="1" a="1"/>
  <c r="D74" i="2" s="1"/>
  <c r="G13" i="2"/>
  <c r="C14" i="2"/>
  <c r="E74" i="2" l="1" a="1"/>
  <c r="E74" i="2" s="1"/>
  <c r="G74" i="2" s="1"/>
  <c r="C75" i="2" s="1"/>
  <c r="D14" i="2" a="1"/>
  <c r="D14" i="2" s="1"/>
  <c r="D75" i="2" l="1" a="1"/>
  <c r="D75" i="2" s="1"/>
  <c r="G14" i="2"/>
  <c r="C15" i="2"/>
  <c r="E75" i="2" l="1" a="1"/>
  <c r="E75" i="2" s="1"/>
  <c r="G75" i="2" s="1"/>
  <c r="C76" i="2" s="1"/>
  <c r="D15" i="2" a="1"/>
  <c r="D15" i="2" s="1"/>
  <c r="D76" i="2" l="1" a="1"/>
  <c r="D76" i="2" s="1"/>
  <c r="G15" i="2"/>
  <c r="C16" i="2"/>
  <c r="E76" i="2" l="1" a="1"/>
  <c r="E76" i="2" s="1"/>
  <c r="G76" i="2" s="1"/>
  <c r="C77" i="2" s="1"/>
  <c r="D16" i="2" a="1"/>
  <c r="D16" i="2" s="1"/>
  <c r="D77" i="2" l="1" a="1"/>
  <c r="D77" i="2" s="1"/>
  <c r="G16" i="2"/>
  <c r="C17" i="2"/>
  <c r="E77" i="2" l="1" a="1"/>
  <c r="E77" i="2" s="1"/>
  <c r="G77" i="2" s="1"/>
  <c r="C78" i="2" s="1"/>
  <c r="D17" i="2" a="1"/>
  <c r="D17" i="2" s="1"/>
  <c r="D78" i="2" l="1" a="1"/>
  <c r="D78" i="2" s="1"/>
  <c r="G17" i="2"/>
  <c r="C18" i="2"/>
  <c r="E78" i="2" l="1" a="1"/>
  <c r="E78" i="2" s="1"/>
  <c r="G78" i="2" s="1"/>
  <c r="C79" i="2" s="1"/>
  <c r="D18" i="2" a="1"/>
  <c r="D18" i="2" s="1"/>
  <c r="D79" i="2" l="1" a="1"/>
  <c r="D79" i="2" s="1"/>
  <c r="G18" i="2"/>
  <c r="C19" i="2"/>
  <c r="E79" i="2" l="1" a="1"/>
  <c r="E79" i="2" s="1"/>
  <c r="G79" i="2" s="1"/>
  <c r="C80" i="2" s="1"/>
  <c r="D19" i="2" a="1"/>
  <c r="D19" i="2" s="1"/>
  <c r="D80" i="2" l="1" a="1"/>
  <c r="D80" i="2" s="1"/>
  <c r="G19" i="2"/>
  <c r="C20" i="2"/>
  <c r="E80" i="2" l="1" a="1"/>
  <c r="E80" i="2" s="1"/>
  <c r="G80" i="2" s="1"/>
  <c r="C81" i="2" s="1"/>
  <c r="D20" i="2" a="1"/>
  <c r="D20" i="2" s="1"/>
  <c r="D81" i="2" l="1" a="1"/>
  <c r="D81" i="2" s="1"/>
  <c r="G20" i="2"/>
  <c r="C21" i="2"/>
  <c r="E81" i="2" l="1" a="1"/>
  <c r="E81" i="2" s="1"/>
  <c r="G81" i="2" s="1"/>
  <c r="C82" i="2" s="1"/>
  <c r="D21" i="2" a="1"/>
  <c r="D21" i="2" s="1"/>
  <c r="D82" i="2" l="1" a="1"/>
  <c r="D82" i="2" s="1"/>
  <c r="G21" i="2"/>
  <c r="C22" i="2"/>
  <c r="E82" i="2" l="1" a="1"/>
  <c r="E82" i="2" s="1"/>
  <c r="G82" i="2" s="1"/>
  <c r="C83" i="2" s="1"/>
  <c r="D22" i="2" a="1"/>
  <c r="D22" i="2" s="1"/>
  <c r="D83" i="2" l="1" a="1"/>
  <c r="D83" i="2" s="1"/>
  <c r="G22" i="2"/>
  <c r="C23" i="2"/>
  <c r="E83" i="2" l="1" a="1"/>
  <c r="E83" i="2" s="1"/>
  <c r="G83" i="2" s="1"/>
  <c r="C84" i="2" s="1"/>
  <c r="D23" i="2" a="1"/>
  <c r="D23" i="2" s="1"/>
  <c r="D84" i="2" l="1" a="1"/>
  <c r="D84" i="2" s="1"/>
  <c r="G23" i="2"/>
  <c r="C24" i="2"/>
  <c r="E84" i="2" l="1" a="1"/>
  <c r="E84" i="2" s="1"/>
  <c r="G84" i="2" s="1"/>
  <c r="C85" i="2" s="1"/>
  <c r="D24" i="2" a="1"/>
  <c r="D24" i="2" s="1"/>
  <c r="D85" i="2" l="1" a="1"/>
  <c r="D85" i="2" s="1"/>
  <c r="G24" i="2"/>
  <c r="C25" i="2"/>
  <c r="E85" i="2" l="1" a="1"/>
  <c r="E85" i="2" s="1"/>
  <c r="G85" i="2" s="1"/>
  <c r="C86" i="2" s="1"/>
  <c r="D25" i="2" a="1"/>
  <c r="D25" i="2" s="1"/>
  <c r="D86" i="2" l="1" a="1"/>
  <c r="D86" i="2" s="1"/>
  <c r="G25" i="2"/>
  <c r="C26" i="2"/>
  <c r="E86" i="2" l="1" a="1"/>
  <c r="E86" i="2" s="1"/>
  <c r="G86" i="2" s="1"/>
  <c r="C87" i="2" s="1"/>
  <c r="D26" i="2" a="1"/>
  <c r="D26" i="2" s="1"/>
  <c r="D87" i="2" l="1" a="1"/>
  <c r="D87" i="2" s="1"/>
  <c r="G26" i="2"/>
  <c r="C27" i="2"/>
  <c r="E87" i="2" l="1" a="1"/>
  <c r="E87" i="2" s="1"/>
  <c r="G87" i="2" s="1"/>
  <c r="C88" i="2" s="1"/>
  <c r="D27" i="2" a="1"/>
  <c r="D27" i="2" s="1"/>
  <c r="D88" i="2" l="1" a="1"/>
  <c r="D88" i="2" s="1"/>
  <c r="G27" i="2"/>
  <c r="C28" i="2"/>
  <c r="E88" i="2" l="1" a="1"/>
  <c r="E88" i="2" s="1"/>
  <c r="G88" i="2" s="1"/>
  <c r="C89" i="2" s="1"/>
  <c r="D28" i="2" a="1"/>
  <c r="D28" i="2" s="1"/>
  <c r="D89" i="2" l="1" a="1"/>
  <c r="D89" i="2" s="1"/>
  <c r="G28" i="2"/>
  <c r="C29" i="2"/>
  <c r="E89" i="2" l="1" a="1"/>
  <c r="E89" i="2" s="1"/>
  <c r="G89" i="2" s="1"/>
  <c r="C90" i="2" s="1"/>
  <c r="D29" i="2" a="1"/>
  <c r="D29" i="2" s="1"/>
  <c r="D90" i="2" l="1" a="1"/>
  <c r="D90" i="2" s="1"/>
  <c r="G29" i="2"/>
  <c r="C30" i="2"/>
  <c r="E90" i="2" l="1" a="1"/>
  <c r="E90" i="2" s="1"/>
  <c r="G90" i="2" s="1"/>
  <c r="C91" i="2" s="1"/>
  <c r="D30" i="2" a="1"/>
  <c r="D30" i="2" s="1"/>
  <c r="D91" i="2" l="1" a="1"/>
  <c r="D91" i="2" s="1"/>
  <c r="G30" i="2"/>
  <c r="C31" i="2"/>
  <c r="E91" i="2" l="1" a="1"/>
  <c r="E91" i="2" s="1"/>
  <c r="G91" i="2" s="1"/>
  <c r="C92" i="2" s="1"/>
  <c r="D31" i="2" a="1"/>
  <c r="D31" i="2" s="1"/>
  <c r="D92" i="2" l="1" a="1"/>
  <c r="D92" i="2" s="1"/>
  <c r="G31" i="2"/>
  <c r="C32" i="2"/>
  <c r="E92" i="2" l="1" a="1"/>
  <c r="E92" i="2" s="1"/>
  <c r="G92" i="2" s="1"/>
  <c r="C93" i="2" s="1"/>
  <c r="D32" i="2" a="1"/>
  <c r="D32" i="2" s="1"/>
  <c r="D93" i="2" l="1" a="1"/>
  <c r="D93" i="2" s="1"/>
  <c r="G32" i="2"/>
  <c r="C33" i="2"/>
  <c r="E93" i="2" l="1" a="1"/>
  <c r="E93" i="2" s="1"/>
  <c r="G93" i="2" s="1"/>
  <c r="C94" i="2" s="1"/>
  <c r="D33" i="2" a="1"/>
  <c r="D33" i="2" s="1"/>
  <c r="D94" i="2" l="1" a="1"/>
  <c r="D94" i="2" s="1"/>
  <c r="G33" i="2"/>
  <c r="C34" i="2"/>
  <c r="E94" i="2" l="1" a="1"/>
  <c r="E94" i="2" s="1"/>
  <c r="G94" i="2" s="1"/>
  <c r="C95" i="2" s="1"/>
  <c r="D34" i="2" a="1"/>
  <c r="D34" i="2" s="1"/>
  <c r="D95" i="2" l="1" a="1"/>
  <c r="D95" i="2" s="1"/>
  <c r="G34" i="2"/>
  <c r="C35" i="2"/>
  <c r="E95" i="2" l="1" a="1"/>
  <c r="E95" i="2" s="1"/>
  <c r="G95" i="2" s="1"/>
  <c r="C96" i="2" s="1"/>
  <c r="D35" i="2" a="1"/>
  <c r="D35" i="2" s="1"/>
  <c r="D96" i="2" l="1" a="1"/>
  <c r="D96" i="2" s="1"/>
  <c r="G35" i="2"/>
  <c r="C36" i="2"/>
  <c r="E96" i="2" l="1" a="1"/>
  <c r="E96" i="2" s="1"/>
  <c r="G96" i="2" s="1"/>
  <c r="C97" i="2" s="1"/>
  <c r="D36" i="2" a="1"/>
  <c r="D36" i="2" s="1"/>
  <c r="D97" i="2" l="1" a="1"/>
  <c r="D97" i="2" s="1"/>
  <c r="G36" i="2"/>
  <c r="C37" i="2"/>
  <c r="E97" i="2" l="1" a="1"/>
  <c r="E97" i="2" s="1"/>
  <c r="G97" i="2" s="1"/>
  <c r="C98" i="2" s="1"/>
  <c r="D37" i="2" a="1"/>
  <c r="D37" i="2" s="1"/>
  <c r="D98" i="2" l="1" a="1"/>
  <c r="D98" i="2" s="1"/>
  <c r="G37" i="2"/>
  <c r="C38" i="2"/>
  <c r="E98" i="2" l="1" a="1"/>
  <c r="E98" i="2" s="1"/>
  <c r="G98" i="2" s="1"/>
  <c r="C99" i="2" s="1"/>
  <c r="D38" i="2" a="1"/>
  <c r="D38" i="2" s="1"/>
  <c r="D99" i="2" l="1" a="1"/>
  <c r="D99" i="2" s="1"/>
  <c r="G38" i="2"/>
  <c r="C39" i="2"/>
  <c r="E99" i="2" l="1" a="1"/>
  <c r="E99" i="2" s="1"/>
  <c r="G99" i="2" s="1"/>
  <c r="C100" i="2" s="1"/>
  <c r="D39" i="2" a="1"/>
  <c r="D39" i="2" s="1"/>
  <c r="D100" i="2" l="1" a="1"/>
  <c r="D100" i="2" s="1"/>
  <c r="G39" i="2"/>
  <c r="C40" i="2"/>
  <c r="E100" i="2" l="1" a="1"/>
  <c r="E100" i="2" s="1"/>
  <c r="G100" i="2" s="1"/>
  <c r="C101" i="2" s="1"/>
  <c r="D40" i="2" a="1"/>
  <c r="D40" i="2" s="1"/>
  <c r="D101" i="2" l="1" a="1"/>
  <c r="D101" i="2" s="1"/>
  <c r="G40" i="2"/>
  <c r="C41" i="2"/>
  <c r="E101" i="2" l="1" a="1"/>
  <c r="E101" i="2" s="1"/>
  <c r="G101" i="2" s="1"/>
  <c r="C102" i="2" s="1"/>
  <c r="D41" i="2" a="1"/>
  <c r="D41" i="2" s="1"/>
  <c r="D102" i="2" l="1" a="1"/>
  <c r="D102" i="2" s="1"/>
  <c r="G41" i="2"/>
  <c r="C42" i="2"/>
  <c r="E102" i="2" l="1" a="1"/>
  <c r="E102" i="2" s="1"/>
  <c r="G102" i="2" s="1"/>
  <c r="C103" i="2" s="1"/>
  <c r="D42" i="2" a="1"/>
  <c r="D42" i="2" s="1"/>
  <c r="D103" i="2" l="1" a="1"/>
  <c r="D103" i="2" s="1"/>
  <c r="G42" i="2"/>
  <c r="C43" i="2"/>
  <c r="E103" i="2" l="1" a="1"/>
  <c r="E103" i="2" s="1"/>
  <c r="G103" i="2" s="1"/>
  <c r="C104" i="2" s="1"/>
  <c r="D43" i="2" a="1"/>
  <c r="D43" i="2" s="1"/>
  <c r="D104" i="2" l="1" a="1"/>
  <c r="D104" i="2" s="1"/>
  <c r="G43" i="2"/>
  <c r="C44" i="2"/>
  <c r="E104" i="2" l="1" a="1"/>
  <c r="E104" i="2" s="1"/>
  <c r="G104" i="2" s="1"/>
  <c r="C105" i="2" s="1"/>
  <c r="D44" i="2" a="1"/>
  <c r="D44" i="2" s="1"/>
  <c r="D105" i="2" l="1" a="1"/>
  <c r="D105" i="2" s="1"/>
  <c r="G44" i="2"/>
  <c r="C45" i="2"/>
  <c r="E105" i="2" l="1" a="1"/>
  <c r="E105" i="2" s="1"/>
  <c r="G105" i="2" s="1"/>
  <c r="C106" i="2" s="1"/>
  <c r="D45" i="2" a="1"/>
  <c r="D45" i="2" s="1"/>
  <c r="D106" i="2" l="1" a="1"/>
  <c r="D106" i="2" s="1"/>
  <c r="G45" i="2"/>
  <c r="C46" i="2"/>
  <c r="E106" i="2" l="1" a="1"/>
  <c r="E106" i="2" s="1"/>
  <c r="G106" i="2" s="1"/>
  <c r="C107" i="2" s="1"/>
  <c r="D46" i="2" a="1"/>
  <c r="D46" i="2" s="1"/>
  <c r="D107" i="2" l="1" a="1"/>
  <c r="D107" i="2" s="1"/>
  <c r="G46" i="2"/>
  <c r="C47" i="2"/>
  <c r="E107" i="2" l="1" a="1"/>
  <c r="E107" i="2" s="1"/>
  <c r="G107" i="2" s="1"/>
  <c r="C108" i="2" s="1"/>
  <c r="D47" i="2" a="1"/>
  <c r="D47" i="2" s="1"/>
  <c r="D108" i="2" l="1" a="1"/>
  <c r="D108" i="2" s="1"/>
  <c r="G47" i="2"/>
  <c r="C48" i="2"/>
  <c r="E108" i="2" l="1" a="1"/>
  <c r="E108" i="2" s="1"/>
  <c r="G108" i="2" s="1"/>
  <c r="C109" i="2" s="1"/>
  <c r="D48" i="2" a="1"/>
  <c r="D48" i="2" s="1"/>
  <c r="D109" i="2" l="1" a="1"/>
  <c r="D109" i="2" s="1"/>
  <c r="G48" i="2"/>
  <c r="C49" i="2"/>
  <c r="E109" i="2" l="1" a="1"/>
  <c r="E109" i="2" s="1"/>
  <c r="G109" i="2" s="1"/>
  <c r="C110" i="2" s="1"/>
  <c r="D49" i="2" a="1"/>
  <c r="D49" i="2" s="1"/>
  <c r="D110" i="2" l="1" a="1"/>
  <c r="D110" i="2" s="1"/>
  <c r="G49" i="2"/>
  <c r="C50" i="2"/>
  <c r="E110" i="2" l="1" a="1"/>
  <c r="E110" i="2" s="1"/>
  <c r="G110" i="2" s="1"/>
  <c r="C111" i="2" s="1"/>
  <c r="D50" i="2" a="1"/>
  <c r="D50" i="2" s="1"/>
  <c r="D111" i="2" l="1" a="1"/>
  <c r="D111" i="2" s="1"/>
  <c r="G50" i="2"/>
  <c r="C51" i="2"/>
  <c r="E111" i="2" l="1" a="1"/>
  <c r="E111" i="2" s="1"/>
  <c r="G111" i="2" s="1"/>
  <c r="C112" i="2" s="1"/>
  <c r="D112" i="2" s="1" a="1"/>
  <c r="D112" i="2" s="1"/>
  <c r="E112" i="2" s="1" a="1"/>
  <c r="E112" i="2" s="1"/>
  <c r="G112" i="2" s="1"/>
  <c r="C113" i="2" s="1"/>
  <c r="D113" i="2" s="1" a="1"/>
  <c r="D113" i="2" s="1"/>
  <c r="E113" i="2" s="1" a="1"/>
  <c r="E113" i="2" s="1"/>
  <c r="G113" i="2" s="1"/>
  <c r="C114" i="2" s="1"/>
  <c r="D114" i="2" s="1" a="1"/>
  <c r="D114" i="2" s="1"/>
  <c r="E114" i="2" s="1" a="1"/>
  <c r="E114" i="2" s="1"/>
  <c r="G114" i="2" s="1"/>
  <c r="C115" i="2" s="1"/>
  <c r="D115" i="2" s="1" a="1"/>
  <c r="D115" i="2" s="1"/>
  <c r="E115" i="2" s="1" a="1"/>
  <c r="E115" i="2" s="1"/>
  <c r="G115" i="2" s="1"/>
  <c r="C116" i="2" s="1"/>
  <c r="D116" i="2" s="1" a="1"/>
  <c r="D116" i="2" s="1"/>
  <c r="E116" i="2" s="1" a="1"/>
  <c r="E116" i="2" s="1"/>
  <c r="G116" i="2" s="1"/>
  <c r="C117" i="2" s="1"/>
  <c r="D117" i="2" s="1" a="1"/>
  <c r="D117" i="2" s="1"/>
  <c r="E117" i="2" s="1" a="1"/>
  <c r="E117" i="2" s="1"/>
  <c r="G117" i="2" s="1"/>
  <c r="C118" i="2" s="1"/>
  <c r="D118" i="2" s="1" a="1"/>
  <c r="D118" i="2" s="1"/>
  <c r="E118" i="2" s="1" a="1"/>
  <c r="E118" i="2" s="1"/>
  <c r="G118" i="2" s="1"/>
  <c r="C119" i="2" s="1"/>
  <c r="D119" i="2" s="1" a="1"/>
  <c r="D119" i="2" s="1"/>
  <c r="E119" i="2" s="1" a="1"/>
  <c r="E119" i="2" s="1"/>
  <c r="G119" i="2" s="1"/>
  <c r="C120" i="2" s="1"/>
  <c r="D120" i="2" s="1" a="1"/>
  <c r="D120" i="2" s="1"/>
  <c r="E120" i="2" s="1" a="1"/>
  <c r="E120" i="2" s="1"/>
  <c r="G120" i="2" s="1"/>
  <c r="C121" i="2" s="1"/>
  <c r="D121" i="2" s="1" a="1"/>
  <c r="D121" i="2" s="1"/>
  <c r="E121" i="2" s="1" a="1"/>
  <c r="E121" i="2" s="1"/>
  <c r="G121" i="2" s="1"/>
  <c r="D51" i="2" a="1"/>
  <c r="D51" i="2" s="1"/>
  <c r="G51" i="2" l="1"/>
  <c r="C52" i="2"/>
  <c r="D52" i="2" l="1" a="1"/>
  <c r="D52" i="2" s="1"/>
  <c r="G52" i="2" l="1"/>
  <c r="C53" i="2"/>
  <c r="D53" i="2" l="1" a="1"/>
  <c r="D53" i="2" s="1"/>
  <c r="G53" i="2" l="1"/>
  <c r="C54" i="2"/>
  <c r="D54" i="2" l="1" a="1"/>
  <c r="D54" i="2" s="1"/>
  <c r="G54" i="2" l="1"/>
  <c r="C55" i="2"/>
  <c r="D55" i="2" l="1" a="1"/>
  <c r="D55" i="2" s="1"/>
  <c r="G55" i="2" l="1"/>
  <c r="C56" i="2"/>
  <c r="D56" i="2" l="1" a="1"/>
  <c r="D56" i="2" s="1"/>
  <c r="G56" i="2" l="1"/>
  <c r="C57" i="2"/>
  <c r="D57" i="2" l="1" a="1"/>
  <c r="D57" i="2" s="1"/>
  <c r="G57" i="2" l="1"/>
  <c r="C58" i="2"/>
  <c r="D58" i="2" l="1" a="1"/>
  <c r="D58" i="2" s="1"/>
  <c r="G58" i="2" l="1"/>
  <c r="C59" i="2"/>
  <c r="D59" i="2" l="1" a="1"/>
  <c r="D59" i="2" s="1"/>
  <c r="G59" i="2" l="1"/>
  <c r="C60" i="2"/>
  <c r="D60" i="2" l="1" a="1"/>
  <c r="D60" i="2" s="1"/>
  <c r="G60" i="2" l="1"/>
  <c r="C61" i="2"/>
  <c r="D61" i="2" s="1" a="1"/>
  <c r="D61" i="2" s="1"/>
  <c r="G6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<sst xmlns="http://schemas.openxmlformats.org/spreadsheetml/2006/main" count="205" uniqueCount="22">
  <si>
    <t>Indice</t>
  </si>
  <si>
    <t>Valor</t>
  </si>
  <si>
    <t>SELIC</t>
  </si>
  <si>
    <t>TR</t>
  </si>
  <si>
    <t>IGP-M</t>
  </si>
  <si>
    <t>IPCA</t>
  </si>
  <si>
    <t>CDB</t>
  </si>
  <si>
    <t>Administração_Imobiliária</t>
  </si>
  <si>
    <t>CDB  (% CDI)</t>
  </si>
  <si>
    <t>Taxa do CDI</t>
  </si>
  <si>
    <t>Valorização do Imovel</t>
  </si>
  <si>
    <t>Inicio</t>
  </si>
  <si>
    <t>Custos</t>
  </si>
  <si>
    <t>Resultado Líquido</t>
  </si>
  <si>
    <t>Receita Bruta</t>
  </si>
  <si>
    <t>Aplicacao</t>
  </si>
  <si>
    <t>Periodo</t>
  </si>
  <si>
    <t>Aluguel</t>
  </si>
  <si>
    <t>IRPF</t>
  </si>
  <si>
    <t>Poupança</t>
  </si>
  <si>
    <t>Valor Aplicado</t>
  </si>
  <si>
    <t>Valor Aplicado + aluguel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</si>
</sst>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* #,##0.00_-;\-&quot;R$&quot;* #,##0.00_-;_-&quot;R$&quot;* &quot;-&quot;??_-;_-@_-"/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164" fontId="0" fillId="0" borderId="0" xfId="1" applyNumberFormat="1" applyFont="1"/>
    <xf numFmtId="17" fontId="0" fillId="0" borderId="0" xfId="0" applyNumberFormat="1"/>
    <xf numFmtId="10" fontId="0" fillId="0" borderId="0" xfId="0" applyNumberFormat="1"/>
    <xf numFmtId="9" fontId="0" fillId="0" borderId="0" xfId="0" applyNumberFormat="1"/>
    <xf numFmtId="0" fontId="2" fillId="2" borderId="1" xfId="0" applyFont="1" applyFill="1" applyBorder="1"/>
    <xf numFmtId="0" fontId="2" fillId="2" borderId="2" xfId="0" applyFont="1" applyFill="1" applyBorder="1"/>
    <xf numFmtId="17" fontId="0" fillId="3" borderId="1" xfId="0" applyNumberFormat="1" applyFill="1" applyBorder="1"/>
    <xf numFmtId="0" fontId="0" fillId="3" borderId="2" xfId="0" applyFill="1" applyBorder="1"/>
    <xf numFmtId="17" fontId="0" fillId="0" borderId="1" xfId="0" applyNumberFormat="1" applyBorder="1"/>
    <xf numFmtId="0" fontId="0" fillId="0" borderId="2" xfId="0" applyBorder="1"/>
    <xf numFmtId="44" fontId="2" fillId="2" borderId="2" xfId="0" applyNumberFormat="1" applyFont="1" applyFill="1" applyBorder="1"/>
    <xf numFmtId="44" fontId="2" fillId="2" borderId="3" xfId="0" applyNumberFormat="1" applyFont="1" applyFill="1" applyBorder="1"/>
    <xf numFmtId="44" fontId="0" fillId="3" borderId="2" xfId="0" applyNumberFormat="1" applyFill="1" applyBorder="1"/>
    <xf numFmtId="44" fontId="0" fillId="3" borderId="3" xfId="0" applyNumberFormat="1" applyFill="1" applyBorder="1"/>
    <xf numFmtId="44" fontId="0" fillId="0" borderId="2" xfId="0" applyNumberFormat="1" applyBorder="1"/>
    <xf numFmtId="44" fontId="0" fillId="0" borderId="3" xfId="0" applyNumberFormat="1" applyBorder="1"/>
    <xf numFmtId="44" fontId="0" fillId="0" borderId="0" xfId="0" applyNumberFormat="1"/>
    <xf numFmtId="14" fontId="0" fillId="0" borderId="0" xfId="0" applyNumberFormat="1"/>
  </cellXfs>
  <cellStyles count="2">
    <cellStyle name="Normal" xfId="0" builtinId="0"/>
    <cellStyle name="Porcentagem" xfId="1" builtinId="5"/>
  </cellStyles>
  <dxfs count="2">
    <dxf>
      <numFmt numFmtId="22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2A9E89-E6B8-4E9F-87BE-DF0CA5C93B54}" name="indices" displayName="indices" ref="A1:B9" totalsRowShown="0">
  <autoFilter ref="A1:B9" xr:uid="{392A9E89-E6B8-4E9F-87BE-DF0CA5C93B54}"/>
  <tableColumns count="2">
    <tableColumn id="1" xr3:uid="{55650320-7733-4002-AB75-789970FBD0CF}" name="Indice"/>
    <tableColumn id="2" xr3:uid="{12C8334F-7CF3-4D30-A051-FD108110456D}" name="Valor" dataDxfId="1" dataCellStyle="Porcentag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11C488-8FB6-4567-8498-3B95C46D02CB}" name="Tabela2" displayName="Tabela2" ref="D1:D2" totalsRowShown="0">
  <autoFilter ref="D1:D2" xr:uid="{FC11C488-8FB6-4567-8498-3B95C46D02CB}"/>
  <tableColumns count="1">
    <tableColumn id="1" xr3:uid="{DF152FFF-6287-48B1-85F1-5868858FF4A0}" name="Inici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9"/>
  <sheetViews>
    <sheetView workbookViewId="0">
      <selection activeCell="G14" sqref="G14"/>
    </sheetView>
  </sheetViews>
  <sheetFormatPr defaultRowHeight="15" x14ac:dyDescent="0.25"/>
  <cols>
    <col min="1" max="1" width="24.7109375" bestFit="1" customWidth="1"/>
    <col min="5" max="5" width="10.7109375" bestFit="1" customWidth="1"/>
    <col min="7" max="7" width="10.7109375" customWidth="1"/>
  </cols>
  <sheetData>
    <row r="1" spans="1:6" x14ac:dyDescent="0.25">
      <c r="A1" t="s">
        <v>0</v>
      </c>
      <c r="B1" t="s">
        <v>1</v>
      </c>
      <c r="D1" t="s">
        <v>11</v>
      </c>
    </row>
    <row r="2" spans="1:6" x14ac:dyDescent="0.25">
      <c r="A2" t="s">
        <v>2</v>
      </c>
      <c r="B2" s="1">
        <v>0.14749999999999999</v>
      </c>
      <c r="D2" s="2">
        <v>46143</v>
      </c>
    </row>
    <row r="3" spans="1:6" x14ac:dyDescent="0.25">
      <c r="A3" t="s">
        <v>3</v>
      </c>
      <c r="B3" s="1">
        <v>2.0299999999999999E-2</v>
      </c>
      <c r="F3" s="3"/>
    </row>
    <row r="4" spans="1:6" x14ac:dyDescent="0.25">
      <c r="A4" t="s">
        <v>9</v>
      </c>
      <c r="B4" s="1">
        <v>0.14649999999999999</v>
      </c>
      <c r="F4" s="4"/>
    </row>
    <row r="5" spans="1:6" x14ac:dyDescent="0.25">
      <c r="A5" t="s">
        <v>4</v>
      </c>
      <c r="B5" s="1">
        <v>3.6400000000000002E-2</v>
      </c>
      <c r="F5" s="3"/>
    </row>
    <row r="6" spans="1:6" x14ac:dyDescent="0.25">
      <c r="A6" t="s">
        <v>5</v>
      </c>
      <c r="B6" s="1">
        <v>4.1000000000000002E-2</v>
      </c>
      <c r="E6" s="18"/>
      <c r="F6" s="3"/>
    </row>
    <row r="7" spans="1:6" x14ac:dyDescent="0.25">
      <c r="A7" t="s">
        <v>8</v>
      </c>
      <c r="B7" s="1">
        <v>1.05</v>
      </c>
    </row>
    <row r="8" spans="1:6" x14ac:dyDescent="0.25">
      <c r="A8" t="s">
        <v>7</v>
      </c>
      <c r="B8" s="1">
        <v>0.1</v>
      </c>
    </row>
    <row r="9" spans="1:6" x14ac:dyDescent="0.25">
      <c r="A9" t="s">
        <v>10</v>
      </c>
      <c r="B9" s="1">
        <v>4.1000000000000002E-2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BD6B0-313E-41CB-9479-DFFC8829474D}">
  <sheetPr codeName="Planilha2"/>
  <dimension ref="A1:P121"/>
  <sheetViews>
    <sheetView tabSelected="1" topLeftCell="A41" workbookViewId="0">
      <selection activeCell="K66" sqref="K66"/>
    </sheetView>
  </sheetViews>
  <sheetFormatPr defaultRowHeight="15" x14ac:dyDescent="0.25"/>
  <cols>
    <col min="1" max="2" width="11.5703125" customWidth="1"/>
    <col min="3" max="3" width="14" style="17" bestFit="1" customWidth="1"/>
    <col min="4" max="4" width="15" style="17" customWidth="1"/>
    <col min="5" max="5" width="14.85546875" style="17" customWidth="1"/>
    <col min="6" max="6" width="10.140625" style="17" bestFit="1" customWidth="1"/>
    <col min="7" max="7" width="19" style="17" customWidth="1"/>
    <col min="12" max="12" width="13.85546875" bestFit="1" customWidth="1"/>
    <col min="13" max="13" width="14.28515625" bestFit="1" customWidth="1"/>
    <col min="14" max="14" width="10.140625" bestFit="1" customWidth="1"/>
    <col min="16" max="16" width="10.140625" bestFit="1" customWidth="1"/>
  </cols>
  <sheetData>
    <row r="1" spans="1:16" x14ac:dyDescent="0.25">
      <c r="A1" s="5" t="s">
        <v>16</v>
      </c>
      <c r="B1" s="6" t="s">
        <v>15</v>
      </c>
      <c r="C1" s="11" t="s">
        <v>20</v>
      </c>
      <c r="D1" s="11" t="s">
        <v>14</v>
      </c>
      <c r="E1" s="11" t="s">
        <v>18</v>
      </c>
      <c r="F1" s="11" t="s">
        <v>12</v>
      </c>
      <c r="G1" s="12" t="s">
        <v>13</v>
      </c>
      <c r="J1" s="5" t="s">
        <v>16</v>
      </c>
      <c r="K1" s="6" t="s">
        <v>15</v>
      </c>
      <c r="L1" s="11" t="s">
        <v>21</v>
      </c>
      <c r="M1" s="11" t="s">
        <v>14</v>
      </c>
      <c r="N1" s="11" t="s">
        <v>18</v>
      </c>
      <c r="O1" s="11" t="s">
        <v>12</v>
      </c>
      <c r="P1" s="12" t="s">
        <v>13</v>
      </c>
    </row>
    <row r="2" spans="1:16" x14ac:dyDescent="0.25">
      <c r="A2" s="7">
        <v>46143</v>
      </c>
      <c r="B2" s="8" t="s">
        <v>19</v>
      </c>
      <c r="C2" s="13">
        <v>100000</v>
      </c>
      <c r="D2" s="13" cm="1">
        <f t="array" ref="D2">rendimento_poupança(C2,selic,TR)</f>
        <v>669.16666666666674</v>
      </c>
      <c r="E2" s="13">
        <v>0</v>
      </c>
      <c r="F2" s="13">
        <v>0</v>
      </c>
      <c r="G2" s="14">
        <f>D2-E2-F2</f>
        <v>669.16666666666674</v>
      </c>
      <c r="J2" s="7">
        <v>46143</v>
      </c>
      <c r="K2" s="8" t="s">
        <v>17</v>
      </c>
      <c r="L2" s="13">
        <v>100000</v>
      </c>
      <c r="M2" s="13">
        <v>750</v>
      </c>
      <c r="N2" s="13">
        <f>M2*0.275</f>
        <v>206.25000000000003</v>
      </c>
      <c r="O2" s="13">
        <f>M2*0.1</f>
        <v>75</v>
      </c>
      <c r="P2" s="14">
        <f>M2-N2-O2</f>
        <v>468.75</v>
      </c>
    </row>
    <row r="3" spans="1:16" x14ac:dyDescent="0.25">
      <c r="A3" s="9">
        <v>46174</v>
      </c>
      <c r="B3" s="10" t="s">
        <v>19</v>
      </c>
      <c r="C3" s="15">
        <f>C2+D2</f>
        <v>100669.16666666667</v>
      </c>
      <c r="D3" s="15" cm="1">
        <f t="array" ref="D3">rendimento_poupança(C3,selic,TR)</f>
        <v>673.64450716750002</v>
      </c>
      <c r="E3" s="15">
        <v>0</v>
      </c>
      <c r="F3" s="15">
        <v>0</v>
      </c>
      <c r="G3" s="16">
        <f>D3-E3-F3</f>
        <v>673.64450716750002</v>
      </c>
      <c r="J3" s="9">
        <v>46174</v>
      </c>
      <c r="K3" s="10" t="s">
        <v>17</v>
      </c>
      <c r="L3" s="15">
        <f>L2+P2</f>
        <v>100468.75</v>
      </c>
      <c r="M3" s="15" cm="1">
        <f t="array" ref="M3">atualizar_aluguel($M$2,$J$2,J3,IGPM)</f>
        <v>750</v>
      </c>
      <c r="N3" s="15">
        <f t="shared" ref="N3:N61" si="0">M3*0.275</f>
        <v>206.25000000000003</v>
      </c>
      <c r="O3" s="15">
        <f t="shared" ref="O3:O17" si="1">M3*0.1</f>
        <v>75</v>
      </c>
      <c r="P3" s="16">
        <f t="shared" ref="P3:P61" si="2">M3-N3-O3</f>
        <v>468.75</v>
      </c>
    </row>
    <row r="4" spans="1:16" x14ac:dyDescent="0.25">
      <c r="A4" s="7">
        <v>46204</v>
      </c>
      <c r="B4" s="8" t="s">
        <v>19</v>
      </c>
      <c r="C4" s="13">
        <f t="shared" ref="C4:C61" si="3">C3+D3</f>
        <v>101342.81117383417</v>
      </c>
      <c r="D4" s="13" cm="1">
        <f t="array" ref="D4">rendimento_poupança(C4,selic,TR)</f>
        <v>678.15231161333338</v>
      </c>
      <c r="E4" s="13">
        <v>0</v>
      </c>
      <c r="F4" s="13">
        <v>0</v>
      </c>
      <c r="G4" s="14">
        <f t="shared" ref="G4:G62" si="4">D4-E4-F4</f>
        <v>678.15231161333338</v>
      </c>
      <c r="J4" s="7">
        <v>46204</v>
      </c>
      <c r="K4" s="8" t="s">
        <v>17</v>
      </c>
      <c r="L4" s="13">
        <f t="shared" ref="L4:L61" si="5">L3+P3</f>
        <v>100937.5</v>
      </c>
      <c r="M4" s="13" cm="1">
        <f t="array" ref="M4">atualizar_aluguel($M$2,$J$2,J4,IGPM)</f>
        <v>750</v>
      </c>
      <c r="N4" s="13">
        <f t="shared" si="0"/>
        <v>206.25000000000003</v>
      </c>
      <c r="O4" s="13">
        <f t="shared" si="1"/>
        <v>75</v>
      </c>
      <c r="P4" s="14">
        <f t="shared" si="2"/>
        <v>468.75</v>
      </c>
    </row>
    <row r="5" spans="1:16" x14ac:dyDescent="0.25">
      <c r="A5" s="9">
        <v>46235</v>
      </c>
      <c r="B5" s="10" t="s">
        <v>19</v>
      </c>
      <c r="C5" s="15">
        <f t="shared" si="3"/>
        <v>102020.9634854475</v>
      </c>
      <c r="D5" s="15" cm="1">
        <f t="array" ref="D5">rendimento_poupança(C5,selic,TR)</f>
        <v>682.69028075416668</v>
      </c>
      <c r="E5" s="15">
        <v>0</v>
      </c>
      <c r="F5" s="15">
        <v>0</v>
      </c>
      <c r="G5" s="16">
        <f t="shared" si="4"/>
        <v>682.69028075416668</v>
      </c>
      <c r="J5" s="9">
        <v>46235</v>
      </c>
      <c r="K5" s="10" t="s">
        <v>17</v>
      </c>
      <c r="L5" s="15">
        <f t="shared" si="5"/>
        <v>101406.25</v>
      </c>
      <c r="M5" s="15" cm="1">
        <f t="array" ref="M5">atualizar_aluguel($M$2,$J$2,J5,IGPM)</f>
        <v>750</v>
      </c>
      <c r="N5" s="15">
        <f t="shared" si="0"/>
        <v>206.25000000000003</v>
      </c>
      <c r="O5" s="15">
        <f t="shared" si="1"/>
        <v>75</v>
      </c>
      <c r="P5" s="16">
        <f t="shared" si="2"/>
        <v>468.75</v>
      </c>
    </row>
    <row r="6" spans="1:16" x14ac:dyDescent="0.25">
      <c r="A6" s="7">
        <v>46266</v>
      </c>
      <c r="B6" s="8" t="s">
        <v>19</v>
      </c>
      <c r="C6" s="13">
        <f t="shared" si="3"/>
        <v>102703.65376620166</v>
      </c>
      <c r="D6" s="13" cm="1">
        <f t="array" ref="D6">rendimento_poupança(C6,selic,TR)</f>
        <v>687.2586166783334</v>
      </c>
      <c r="E6" s="13">
        <v>0</v>
      </c>
      <c r="F6" s="13">
        <v>0</v>
      </c>
      <c r="G6" s="14">
        <f t="shared" si="4"/>
        <v>687.2586166783334</v>
      </c>
      <c r="J6" s="7">
        <v>46266</v>
      </c>
      <c r="K6" s="8" t="s">
        <v>17</v>
      </c>
      <c r="L6" s="13">
        <f t="shared" si="5"/>
        <v>101875</v>
      </c>
      <c r="M6" s="13" cm="1">
        <f t="array" ref="M6">atualizar_aluguel($M$2,$J$2,J6,IGPM)</f>
        <v>750</v>
      </c>
      <c r="N6" s="13">
        <f t="shared" si="0"/>
        <v>206.25000000000003</v>
      </c>
      <c r="O6" s="13">
        <f t="shared" si="1"/>
        <v>75</v>
      </c>
      <c r="P6" s="14">
        <f t="shared" si="2"/>
        <v>468.75</v>
      </c>
    </row>
    <row r="7" spans="1:16" x14ac:dyDescent="0.25">
      <c r="A7" s="9">
        <v>46296</v>
      </c>
      <c r="B7" s="10" t="s">
        <v>19</v>
      </c>
      <c r="C7" s="15">
        <f t="shared" si="3"/>
        <v>103390.91238287999</v>
      </c>
      <c r="D7" s="15" cm="1">
        <f t="array" ref="D7">rendimento_poupança(C7,selic,TR)</f>
        <v>691.85752214333331</v>
      </c>
      <c r="E7" s="15">
        <v>0</v>
      </c>
      <c r="F7" s="15">
        <v>0</v>
      </c>
      <c r="G7" s="16">
        <f t="shared" si="4"/>
        <v>691.85752214333331</v>
      </c>
      <c r="J7" s="9">
        <v>46296</v>
      </c>
      <c r="K7" s="10" t="s">
        <v>17</v>
      </c>
      <c r="L7" s="15">
        <f t="shared" si="5"/>
        <v>102343.75</v>
      </c>
      <c r="M7" s="15" cm="1">
        <f t="array" ref="M7">atualizar_aluguel($M$2,$J$2,J7,IGPM)</f>
        <v>750</v>
      </c>
      <c r="N7" s="15">
        <f t="shared" si="0"/>
        <v>206.25000000000003</v>
      </c>
      <c r="O7" s="15">
        <f t="shared" si="1"/>
        <v>75</v>
      </c>
      <c r="P7" s="16">
        <f t="shared" si="2"/>
        <v>468.75</v>
      </c>
    </row>
    <row r="8" spans="1:16" x14ac:dyDescent="0.25">
      <c r="A8" s="7">
        <v>46327</v>
      </c>
      <c r="B8" s="8" t="s">
        <v>19</v>
      </c>
      <c r="C8" s="13">
        <f t="shared" si="3"/>
        <v>104082.76990502332</v>
      </c>
      <c r="D8" s="13" cm="1">
        <f t="array" ref="D8">rendimento_poupança(C8,selic,TR)</f>
        <v>696.48720191416669</v>
      </c>
      <c r="E8" s="13">
        <v>0</v>
      </c>
      <c r="F8" s="13">
        <v>0</v>
      </c>
      <c r="G8" s="14">
        <f t="shared" si="4"/>
        <v>696.48720191416669</v>
      </c>
      <c r="J8" s="7">
        <v>46327</v>
      </c>
      <c r="K8" s="8" t="s">
        <v>17</v>
      </c>
      <c r="L8" s="13">
        <f t="shared" si="5"/>
        <v>102812.5</v>
      </c>
      <c r="M8" s="13" cm="1">
        <f t="array" ref="M8">atualizar_aluguel($M$2,$J$2,J8,IGPM)</f>
        <v>750</v>
      </c>
      <c r="N8" s="13">
        <f t="shared" si="0"/>
        <v>206.25000000000003</v>
      </c>
      <c r="O8" s="13">
        <f t="shared" si="1"/>
        <v>75</v>
      </c>
      <c r="P8" s="14">
        <f t="shared" si="2"/>
        <v>468.75</v>
      </c>
    </row>
    <row r="9" spans="1:16" x14ac:dyDescent="0.25">
      <c r="A9" s="9">
        <v>46357</v>
      </c>
      <c r="B9" s="10" t="s">
        <v>19</v>
      </c>
      <c r="C9" s="15">
        <f t="shared" si="3"/>
        <v>104779.25710693748</v>
      </c>
      <c r="D9" s="15" cm="1">
        <f t="array" ref="D9">rendimento_poupança(C9,selic,TR)</f>
        <v>701.14786209416673</v>
      </c>
      <c r="E9" s="15">
        <v>0</v>
      </c>
      <c r="F9" s="15">
        <v>0</v>
      </c>
      <c r="G9" s="16">
        <f t="shared" si="4"/>
        <v>701.14786209416673</v>
      </c>
      <c r="J9" s="9">
        <v>46357</v>
      </c>
      <c r="K9" s="10" t="s">
        <v>17</v>
      </c>
      <c r="L9" s="15">
        <f t="shared" si="5"/>
        <v>103281.25</v>
      </c>
      <c r="M9" s="15" cm="1">
        <f t="array" ref="M9">atualizar_aluguel($M$2,$J$2,J9,IGPM)</f>
        <v>750</v>
      </c>
      <c r="N9" s="15">
        <f t="shared" si="0"/>
        <v>206.25000000000003</v>
      </c>
      <c r="O9" s="15">
        <f t="shared" si="1"/>
        <v>75</v>
      </c>
      <c r="P9" s="16">
        <f t="shared" si="2"/>
        <v>468.75</v>
      </c>
    </row>
    <row r="10" spans="1:16" x14ac:dyDescent="0.25">
      <c r="A10" s="7">
        <v>46388</v>
      </c>
      <c r="B10" s="8" t="s">
        <v>19</v>
      </c>
      <c r="C10" s="13">
        <f t="shared" si="3"/>
        <v>105480.40496903165</v>
      </c>
      <c r="D10" s="13" cm="1">
        <f t="array" ref="D10">rendimento_poupança(C10,selic,TR)</f>
        <v>705.83971012500001</v>
      </c>
      <c r="E10" s="13">
        <v>0</v>
      </c>
      <c r="F10" s="13">
        <v>0</v>
      </c>
      <c r="G10" s="14">
        <f t="shared" si="4"/>
        <v>705.83971012500001</v>
      </c>
      <c r="J10" s="7">
        <v>46388</v>
      </c>
      <c r="K10" s="8" t="s">
        <v>17</v>
      </c>
      <c r="L10" s="13">
        <f t="shared" si="5"/>
        <v>103750</v>
      </c>
      <c r="M10" s="13" cm="1">
        <f t="array" ref="M10">atualizar_aluguel($M$2,$J$2,J10,IGPM)</f>
        <v>750</v>
      </c>
      <c r="N10" s="13">
        <f t="shared" si="0"/>
        <v>206.25000000000003</v>
      </c>
      <c r="O10" s="13">
        <f t="shared" si="1"/>
        <v>75</v>
      </c>
      <c r="P10" s="14">
        <f t="shared" si="2"/>
        <v>468.75</v>
      </c>
    </row>
    <row r="11" spans="1:16" x14ac:dyDescent="0.25">
      <c r="A11" s="9">
        <v>46419</v>
      </c>
      <c r="B11" s="10" t="s">
        <v>19</v>
      </c>
      <c r="C11" s="15">
        <f t="shared" si="3"/>
        <v>106186.24467915665</v>
      </c>
      <c r="D11" s="15" cm="1">
        <f t="array" ref="D11">rendimento_poupança(C11,selic,TR)</f>
        <v>710.5629541175</v>
      </c>
      <c r="E11" s="15">
        <v>0</v>
      </c>
      <c r="F11" s="15">
        <v>0</v>
      </c>
      <c r="G11" s="16">
        <f t="shared" si="4"/>
        <v>710.5629541175</v>
      </c>
      <c r="J11" s="9">
        <v>46419</v>
      </c>
      <c r="K11" s="10" t="s">
        <v>17</v>
      </c>
      <c r="L11" s="15">
        <f t="shared" si="5"/>
        <v>104218.75</v>
      </c>
      <c r="M11" s="15" cm="1">
        <f t="array" ref="M11">atualizar_aluguel($M$2,$J$2,J11,IGPM)</f>
        <v>750</v>
      </c>
      <c r="N11" s="15">
        <f t="shared" si="0"/>
        <v>206.25000000000003</v>
      </c>
      <c r="O11" s="15">
        <f t="shared" si="1"/>
        <v>75</v>
      </c>
      <c r="P11" s="16">
        <f t="shared" si="2"/>
        <v>468.75</v>
      </c>
    </row>
    <row r="12" spans="1:16" x14ac:dyDescent="0.25">
      <c r="A12" s="7">
        <v>46447</v>
      </c>
      <c r="B12" s="8" t="s">
        <v>19</v>
      </c>
      <c r="C12" s="13">
        <f t="shared" si="3"/>
        <v>106896.80763327415</v>
      </c>
      <c r="D12" s="13" cm="1">
        <f t="array" ref="D12">rendimento_poupança(C12,selic,TR)</f>
        <v>715.31780419000006</v>
      </c>
      <c r="E12" s="13">
        <v>0</v>
      </c>
      <c r="F12" s="13">
        <v>0</v>
      </c>
      <c r="G12" s="14">
        <f t="shared" si="4"/>
        <v>715.31780419000006</v>
      </c>
      <c r="J12" s="7">
        <v>46447</v>
      </c>
      <c r="K12" s="8" t="s">
        <v>17</v>
      </c>
      <c r="L12" s="13">
        <f t="shared" si="5"/>
        <v>104687.5</v>
      </c>
      <c r="M12" s="13" cm="1">
        <f t="array" ref="M12">atualizar_aluguel($M$2,$J$2,J12,IGPM)</f>
        <v>750</v>
      </c>
      <c r="N12" s="13">
        <f t="shared" si="0"/>
        <v>206.25000000000003</v>
      </c>
      <c r="O12" s="13">
        <f t="shared" si="1"/>
        <v>75</v>
      </c>
      <c r="P12" s="14">
        <f t="shared" si="2"/>
        <v>468.75</v>
      </c>
    </row>
    <row r="13" spans="1:16" x14ac:dyDescent="0.25">
      <c r="A13" s="9">
        <v>46478</v>
      </c>
      <c r="B13" s="10" t="s">
        <v>19</v>
      </c>
      <c r="C13" s="15">
        <f t="shared" si="3"/>
        <v>107612.12543746414</v>
      </c>
      <c r="D13" s="15" cm="1">
        <f t="array" ref="D13">rendimento_poupança(C13,selic,TR)</f>
        <v>720.10447246833337</v>
      </c>
      <c r="E13" s="15">
        <v>0</v>
      </c>
      <c r="F13" s="15">
        <v>0</v>
      </c>
      <c r="G13" s="16">
        <f t="shared" si="4"/>
        <v>720.10447246833337</v>
      </c>
      <c r="J13" s="9">
        <v>46478</v>
      </c>
      <c r="K13" s="10" t="s">
        <v>17</v>
      </c>
      <c r="L13" s="15">
        <f t="shared" si="5"/>
        <v>105156.25</v>
      </c>
      <c r="M13" s="15" cm="1">
        <f t="array" ref="M13">atualizar_aluguel($M$2,$J$2,J13,IGPM)</f>
        <v>750</v>
      </c>
      <c r="N13" s="15">
        <f t="shared" si="0"/>
        <v>206.25000000000003</v>
      </c>
      <c r="O13" s="15">
        <f t="shared" si="1"/>
        <v>75</v>
      </c>
      <c r="P13" s="16">
        <f t="shared" si="2"/>
        <v>468.75</v>
      </c>
    </row>
    <row r="14" spans="1:16" x14ac:dyDescent="0.25">
      <c r="A14" s="7">
        <v>46508</v>
      </c>
      <c r="B14" s="8" t="s">
        <v>19</v>
      </c>
      <c r="C14" s="13">
        <f t="shared" si="3"/>
        <v>108332.22990993247</v>
      </c>
      <c r="D14" s="13" cm="1">
        <f t="array" ref="D14">rendimento_poupança(C14,selic,TR)</f>
        <v>724.92317174750008</v>
      </c>
      <c r="E14" s="13">
        <v>0</v>
      </c>
      <c r="F14" s="13">
        <v>0</v>
      </c>
      <c r="G14" s="14">
        <f t="shared" si="4"/>
        <v>724.92317174750008</v>
      </c>
      <c r="J14" s="7">
        <v>46508</v>
      </c>
      <c r="K14" s="8" t="s">
        <v>17</v>
      </c>
      <c r="L14" s="13">
        <f t="shared" si="5"/>
        <v>105625</v>
      </c>
      <c r="M14" s="13" cm="1">
        <f t="array" ref="M14">atualizar_aluguel($M$2,$J$2,J14,IGPM)</f>
        <v>777.3</v>
      </c>
      <c r="N14" s="13">
        <f t="shared" si="0"/>
        <v>213.75749999999999</v>
      </c>
      <c r="O14" s="13">
        <f t="shared" si="1"/>
        <v>77.73</v>
      </c>
      <c r="P14" s="14">
        <f t="shared" si="2"/>
        <v>485.8125</v>
      </c>
    </row>
    <row r="15" spans="1:16" x14ac:dyDescent="0.25">
      <c r="A15" s="9">
        <v>46539</v>
      </c>
      <c r="B15" s="10" t="s">
        <v>19</v>
      </c>
      <c r="C15" s="15">
        <f t="shared" si="3"/>
        <v>109057.15308167998</v>
      </c>
      <c r="D15" s="15" cm="1">
        <f t="array" ref="D15">rendimento_poupança(C15,selic,TR)</f>
        <v>729.77411616083339</v>
      </c>
      <c r="E15" s="15">
        <v>0</v>
      </c>
      <c r="F15" s="15">
        <v>0</v>
      </c>
      <c r="G15" s="16">
        <f t="shared" si="4"/>
        <v>729.77411616083339</v>
      </c>
      <c r="J15" s="9">
        <v>46539</v>
      </c>
      <c r="K15" s="10" t="s">
        <v>17</v>
      </c>
      <c r="L15" s="15">
        <f t="shared" si="5"/>
        <v>106110.8125</v>
      </c>
      <c r="M15" s="15" cm="1">
        <f t="array" ref="M15">atualizar_aluguel($M$2,$J$2,J15,IGPM)</f>
        <v>777.3</v>
      </c>
      <c r="N15" s="15">
        <f t="shared" si="0"/>
        <v>213.75749999999999</v>
      </c>
      <c r="O15" s="15">
        <f t="shared" si="1"/>
        <v>77.73</v>
      </c>
      <c r="P15" s="16">
        <f t="shared" si="2"/>
        <v>485.8125</v>
      </c>
    </row>
    <row r="16" spans="1:16" x14ac:dyDescent="0.25">
      <c r="A16" s="7">
        <v>46569</v>
      </c>
      <c r="B16" s="8" t="s">
        <v>19</v>
      </c>
      <c r="C16" s="13">
        <f t="shared" si="3"/>
        <v>109786.92719784081</v>
      </c>
      <c r="D16" s="13" cm="1">
        <f t="array" ref="D16">rendimento_poupança(C16,selic,TR)</f>
        <v>734.65752118000012</v>
      </c>
      <c r="E16" s="13">
        <v>0</v>
      </c>
      <c r="F16" s="13">
        <v>0</v>
      </c>
      <c r="G16" s="14">
        <f t="shared" si="4"/>
        <v>734.65752118000012</v>
      </c>
      <c r="J16" s="7">
        <v>46569</v>
      </c>
      <c r="K16" s="8" t="s">
        <v>17</v>
      </c>
      <c r="L16" s="13">
        <f t="shared" si="5"/>
        <v>106596.625</v>
      </c>
      <c r="M16" s="13" cm="1">
        <f t="array" ref="M16">atualizar_aluguel($M$2,$J$2,J16,IGPM)</f>
        <v>777.3</v>
      </c>
      <c r="N16" s="13">
        <f t="shared" si="0"/>
        <v>213.75749999999999</v>
      </c>
      <c r="O16" s="13">
        <f t="shared" si="1"/>
        <v>77.73</v>
      </c>
      <c r="P16" s="14">
        <f t="shared" si="2"/>
        <v>485.8125</v>
      </c>
    </row>
    <row r="17" spans="1:16" x14ac:dyDescent="0.25">
      <c r="A17" s="9">
        <v>46600</v>
      </c>
      <c r="B17" s="10" t="s">
        <v>19</v>
      </c>
      <c r="C17" s="15">
        <f t="shared" si="3"/>
        <v>110521.5847190208</v>
      </c>
      <c r="D17" s="15" cm="1">
        <f t="array" ref="D17">rendimento_poupança(C17,selic,TR)</f>
        <v>739.57360428416678</v>
      </c>
      <c r="E17" s="15">
        <v>0</v>
      </c>
      <c r="F17" s="15">
        <v>0</v>
      </c>
      <c r="G17" s="16">
        <f t="shared" si="4"/>
        <v>739.57360428416678</v>
      </c>
      <c r="J17" s="9">
        <v>46600</v>
      </c>
      <c r="K17" s="10" t="s">
        <v>17</v>
      </c>
      <c r="L17" s="15">
        <f t="shared" si="5"/>
        <v>107082.4375</v>
      </c>
      <c r="M17" s="15" cm="1">
        <f t="array" ref="M17">atualizar_aluguel($M$2,$J$2,J17,IGPM)</f>
        <v>777.3</v>
      </c>
      <c r="N17" s="15">
        <f t="shared" si="0"/>
        <v>213.75749999999999</v>
      </c>
      <c r="O17" s="15">
        <f t="shared" si="1"/>
        <v>77.73</v>
      </c>
      <c r="P17" s="16">
        <f t="shared" si="2"/>
        <v>485.8125</v>
      </c>
    </row>
    <row r="18" spans="1:16" x14ac:dyDescent="0.25">
      <c r="A18" s="7">
        <v>46631</v>
      </c>
      <c r="B18" s="8" t="s">
        <v>19</v>
      </c>
      <c r="C18" s="13">
        <f t="shared" si="3"/>
        <v>111261.15832330496</v>
      </c>
      <c r="D18" s="13" cm="1">
        <f t="array" ref="D18">rendimento_poupança(C18,selic,TR)</f>
        <v>744.52258429083338</v>
      </c>
      <c r="E18" s="13">
        <v>0</v>
      </c>
      <c r="F18" s="13">
        <v>0</v>
      </c>
      <c r="G18" s="14">
        <f t="shared" si="4"/>
        <v>744.52258429083338</v>
      </c>
      <c r="J18" s="7">
        <v>46631</v>
      </c>
      <c r="K18" s="8" t="s">
        <v>17</v>
      </c>
      <c r="L18" s="13">
        <f t="shared" si="5"/>
        <v>107568.25</v>
      </c>
      <c r="M18" s="13" cm="1">
        <f t="array" ref="M18">atualizar_aluguel($M$2,$J$2,J18,IGPM)</f>
        <v>777.3</v>
      </c>
      <c r="N18" s="13">
        <f t="shared" si="0"/>
        <v>213.75749999999999</v>
      </c>
      <c r="O18" s="13">
        <f t="shared" ref="O18:O61" si="6">M18*0.1</f>
        <v>77.73</v>
      </c>
      <c r="P18" s="14">
        <f t="shared" si="2"/>
        <v>485.8125</v>
      </c>
    </row>
    <row r="19" spans="1:16" x14ac:dyDescent="0.25">
      <c r="A19" s="9">
        <v>46661</v>
      </c>
      <c r="B19" s="10" t="s">
        <v>19</v>
      </c>
      <c r="C19" s="15">
        <f t="shared" si="3"/>
        <v>112005.6809075958</v>
      </c>
      <c r="D19" s="15" cm="1">
        <f t="array" ref="D19">rendimento_poupança(C19,selic,TR)</f>
        <v>749.50468135583344</v>
      </c>
      <c r="E19" s="15">
        <v>0</v>
      </c>
      <c r="F19" s="15">
        <v>0</v>
      </c>
      <c r="G19" s="16">
        <f t="shared" si="4"/>
        <v>749.50468135583344</v>
      </c>
      <c r="J19" s="9">
        <v>46661</v>
      </c>
      <c r="K19" s="10" t="s">
        <v>17</v>
      </c>
      <c r="L19" s="15">
        <f t="shared" si="5"/>
        <v>108054.0625</v>
      </c>
      <c r="M19" s="15" cm="1">
        <f t="array" ref="M19">atualizar_aluguel($M$2,$J$2,J19,IGPM)</f>
        <v>777.3</v>
      </c>
      <c r="N19" s="15">
        <f t="shared" si="0"/>
        <v>213.75749999999999</v>
      </c>
      <c r="O19" s="15">
        <f t="shared" si="6"/>
        <v>77.73</v>
      </c>
      <c r="P19" s="16">
        <f t="shared" si="2"/>
        <v>485.8125</v>
      </c>
    </row>
    <row r="20" spans="1:16" x14ac:dyDescent="0.25">
      <c r="A20" s="7">
        <v>46692</v>
      </c>
      <c r="B20" s="8" t="s">
        <v>19</v>
      </c>
      <c r="C20" s="13">
        <f t="shared" si="3"/>
        <v>112755.18558895163</v>
      </c>
      <c r="D20" s="13" cm="1">
        <f t="array" ref="D20">rendimento_poupança(C20,selic,TR)</f>
        <v>754.5201169733333</v>
      </c>
      <c r="E20" s="13">
        <v>0</v>
      </c>
      <c r="F20" s="13">
        <v>0</v>
      </c>
      <c r="G20" s="14">
        <f t="shared" si="4"/>
        <v>754.5201169733333</v>
      </c>
      <c r="J20" s="7">
        <v>46692</v>
      </c>
      <c r="K20" s="8" t="s">
        <v>17</v>
      </c>
      <c r="L20" s="13">
        <f t="shared" si="5"/>
        <v>108539.875</v>
      </c>
      <c r="M20" s="13" cm="1">
        <f t="array" ref="M20">atualizar_aluguel($M$2,$J$2,J20,IGPM)</f>
        <v>777.3</v>
      </c>
      <c r="N20" s="13">
        <f t="shared" si="0"/>
        <v>213.75749999999999</v>
      </c>
      <c r="O20" s="13">
        <f t="shared" si="6"/>
        <v>77.73</v>
      </c>
      <c r="P20" s="14">
        <f t="shared" si="2"/>
        <v>485.8125</v>
      </c>
    </row>
    <row r="21" spans="1:16" x14ac:dyDescent="0.25">
      <c r="A21" s="9">
        <v>46722</v>
      </c>
      <c r="B21" s="10" t="s">
        <v>19</v>
      </c>
      <c r="C21" s="15">
        <f t="shared" si="3"/>
        <v>113509.70570592496</v>
      </c>
      <c r="D21" s="15" cm="1">
        <f t="array" ref="D21">rendimento_poupança(C21,selic,TR)</f>
        <v>759.56911397583337</v>
      </c>
      <c r="E21" s="15">
        <v>0</v>
      </c>
      <c r="F21" s="15">
        <v>0</v>
      </c>
      <c r="G21" s="16">
        <f t="shared" si="4"/>
        <v>759.56911397583337</v>
      </c>
      <c r="J21" s="9">
        <v>46722</v>
      </c>
      <c r="K21" s="10" t="s">
        <v>17</v>
      </c>
      <c r="L21" s="15">
        <f t="shared" si="5"/>
        <v>109025.6875</v>
      </c>
      <c r="M21" s="15" cm="1">
        <f t="array" ref="M21">atualizar_aluguel($M$2,$J$2,J21,IGPM)</f>
        <v>777.3</v>
      </c>
      <c r="N21" s="15">
        <f t="shared" si="0"/>
        <v>213.75749999999999</v>
      </c>
      <c r="O21" s="15">
        <f t="shared" si="6"/>
        <v>77.73</v>
      </c>
      <c r="P21" s="16">
        <f t="shared" si="2"/>
        <v>485.8125</v>
      </c>
    </row>
    <row r="22" spans="1:16" x14ac:dyDescent="0.25">
      <c r="A22" s="7">
        <v>46753</v>
      </c>
      <c r="B22" s="8" t="s">
        <v>19</v>
      </c>
      <c r="C22" s="13">
        <f t="shared" si="3"/>
        <v>114269.27481990079</v>
      </c>
      <c r="D22" s="13" cm="1">
        <f t="array" ref="D22">rendimento_poupança(C22,selic,TR)</f>
        <v>764.65189720333331</v>
      </c>
      <c r="E22" s="13">
        <v>0</v>
      </c>
      <c r="F22" s="13">
        <v>0</v>
      </c>
      <c r="G22" s="14">
        <f t="shared" si="4"/>
        <v>764.65189720333331</v>
      </c>
      <c r="J22" s="7">
        <v>46753</v>
      </c>
      <c r="K22" s="8" t="s">
        <v>17</v>
      </c>
      <c r="L22" s="13">
        <f t="shared" si="5"/>
        <v>109511.5</v>
      </c>
      <c r="M22" s="13" cm="1">
        <f t="array" ref="M22">atualizar_aluguel($M$2,$J$2,J22,IGPM)</f>
        <v>777.3</v>
      </c>
      <c r="N22" s="13">
        <f t="shared" si="0"/>
        <v>213.75749999999999</v>
      </c>
      <c r="O22" s="13">
        <f t="shared" si="6"/>
        <v>77.73</v>
      </c>
      <c r="P22" s="14">
        <f t="shared" si="2"/>
        <v>485.8125</v>
      </c>
    </row>
    <row r="23" spans="1:16" x14ac:dyDescent="0.25">
      <c r="A23" s="9">
        <v>46784</v>
      </c>
      <c r="B23" s="10" t="s">
        <v>19</v>
      </c>
      <c r="C23" s="15">
        <f t="shared" si="3"/>
        <v>115033.92671710413</v>
      </c>
      <c r="D23" s="15" cm="1">
        <f t="array" ref="D23">rendimento_poupança(C23,selic,TR)</f>
        <v>769.7686928341667</v>
      </c>
      <c r="E23" s="15">
        <v>0</v>
      </c>
      <c r="F23" s="15">
        <v>0</v>
      </c>
      <c r="G23" s="16">
        <f t="shared" si="4"/>
        <v>769.7686928341667</v>
      </c>
      <c r="J23" s="9">
        <v>46784</v>
      </c>
      <c r="K23" s="10" t="s">
        <v>17</v>
      </c>
      <c r="L23" s="15">
        <f t="shared" si="5"/>
        <v>109997.3125</v>
      </c>
      <c r="M23" s="15" cm="1">
        <f t="array" ref="M23">atualizar_aluguel($M$2,$J$2,J23,IGPM)</f>
        <v>777.3</v>
      </c>
      <c r="N23" s="15">
        <f t="shared" si="0"/>
        <v>213.75749999999999</v>
      </c>
      <c r="O23" s="15">
        <f t="shared" si="6"/>
        <v>77.73</v>
      </c>
      <c r="P23" s="16">
        <f t="shared" si="2"/>
        <v>485.8125</v>
      </c>
    </row>
    <row r="24" spans="1:16" x14ac:dyDescent="0.25">
      <c r="A24" s="7">
        <v>46813</v>
      </c>
      <c r="B24" s="8" t="s">
        <v>19</v>
      </c>
      <c r="C24" s="13">
        <f t="shared" si="3"/>
        <v>115803.6954099383</v>
      </c>
      <c r="D24" s="13" cm="1">
        <f t="array" ref="D24">rendimento_poupança(C24,selic,TR)</f>
        <v>774.91972838499998</v>
      </c>
      <c r="E24" s="13">
        <v>0</v>
      </c>
      <c r="F24" s="13">
        <v>0</v>
      </c>
      <c r="G24" s="14">
        <f t="shared" si="4"/>
        <v>774.91972838499998</v>
      </c>
      <c r="J24" s="7">
        <v>46813</v>
      </c>
      <c r="K24" s="8" t="s">
        <v>17</v>
      </c>
      <c r="L24" s="13">
        <f t="shared" si="5"/>
        <v>110483.125</v>
      </c>
      <c r="M24" s="13" cm="1">
        <f t="array" ref="M24">atualizar_aluguel($M$2,$J$2,J24,IGPM)</f>
        <v>777.3</v>
      </c>
      <c r="N24" s="13">
        <f t="shared" si="0"/>
        <v>213.75749999999999</v>
      </c>
      <c r="O24" s="13">
        <f t="shared" si="6"/>
        <v>77.73</v>
      </c>
      <c r="P24" s="14">
        <f t="shared" si="2"/>
        <v>485.8125</v>
      </c>
    </row>
    <row r="25" spans="1:16" x14ac:dyDescent="0.25">
      <c r="A25" s="9">
        <v>46844</v>
      </c>
      <c r="B25" s="10" t="s">
        <v>19</v>
      </c>
      <c r="C25" s="15">
        <f t="shared" si="3"/>
        <v>116578.61513832329</v>
      </c>
      <c r="D25" s="15" cm="1">
        <f t="array" ref="D25">rendimento_poupança(C25,selic,TR)</f>
        <v>780.10523271083332</v>
      </c>
      <c r="E25" s="15">
        <v>0</v>
      </c>
      <c r="F25" s="15">
        <v>0</v>
      </c>
      <c r="G25" s="16">
        <f t="shared" si="4"/>
        <v>780.10523271083332</v>
      </c>
      <c r="J25" s="9">
        <v>46844</v>
      </c>
      <c r="K25" s="10" t="s">
        <v>17</v>
      </c>
      <c r="L25" s="15">
        <f t="shared" si="5"/>
        <v>110968.9375</v>
      </c>
      <c r="M25" s="15" cm="1">
        <f t="array" ref="M25">atualizar_aluguel($M$2,$J$2,J25,IGPM)</f>
        <v>777.3</v>
      </c>
      <c r="N25" s="15">
        <f t="shared" si="0"/>
        <v>213.75749999999999</v>
      </c>
      <c r="O25" s="15">
        <f t="shared" si="6"/>
        <v>77.73</v>
      </c>
      <c r="P25" s="16">
        <f t="shared" si="2"/>
        <v>485.8125</v>
      </c>
    </row>
    <row r="26" spans="1:16" x14ac:dyDescent="0.25">
      <c r="A26" s="7">
        <v>46874</v>
      </c>
      <c r="B26" s="8" t="s">
        <v>19</v>
      </c>
      <c r="C26" s="13">
        <f t="shared" si="3"/>
        <v>117358.72037103413</v>
      </c>
      <c r="D26" s="13" cm="1">
        <f t="array" ref="D26">rendimento_poupança(C26,selic,TR)</f>
        <v>785.32543734333342</v>
      </c>
      <c r="E26" s="13">
        <v>0</v>
      </c>
      <c r="F26" s="13">
        <v>0</v>
      </c>
      <c r="G26" s="14">
        <f t="shared" si="4"/>
        <v>785.32543734333342</v>
      </c>
      <c r="J26" s="7">
        <v>46874</v>
      </c>
      <c r="K26" s="8" t="s">
        <v>17</v>
      </c>
      <c r="L26" s="13">
        <f t="shared" si="5"/>
        <v>111454.75</v>
      </c>
      <c r="M26" s="13" cm="1">
        <f t="array" ref="M26">atualizar_aluguel($M$2,$J$2,J26,IGPM)</f>
        <v>805.59371999999996</v>
      </c>
      <c r="N26" s="13">
        <f t="shared" si="0"/>
        <v>221.538273</v>
      </c>
      <c r="O26" s="13">
        <f t="shared" si="6"/>
        <v>80.559371999999996</v>
      </c>
      <c r="P26" s="14">
        <f t="shared" si="2"/>
        <v>503.49607499999996</v>
      </c>
    </row>
    <row r="27" spans="1:16" x14ac:dyDescent="0.25">
      <c r="A27" s="9">
        <v>46905</v>
      </c>
      <c r="B27" s="10" t="s">
        <v>19</v>
      </c>
      <c r="C27" s="15">
        <f t="shared" si="3"/>
        <v>118144.04580837746</v>
      </c>
      <c r="D27" s="15" cm="1">
        <f t="array" ref="D27">rendimento_poupança(C27,selic,TR)</f>
        <v>790.58057314500013</v>
      </c>
      <c r="E27" s="15">
        <v>0</v>
      </c>
      <c r="F27" s="15">
        <v>0</v>
      </c>
      <c r="G27" s="16">
        <f t="shared" si="4"/>
        <v>790.58057314500013</v>
      </c>
      <c r="J27" s="9">
        <v>46905</v>
      </c>
      <c r="K27" s="10" t="s">
        <v>17</v>
      </c>
      <c r="L27" s="15">
        <f t="shared" si="5"/>
        <v>111958.246075</v>
      </c>
      <c r="M27" s="15" cm="1">
        <f t="array" ref="M27">atualizar_aluguel($M$2,$J$2,J27,IGPM)</f>
        <v>805.59371999999996</v>
      </c>
      <c r="N27" s="15">
        <f t="shared" si="0"/>
        <v>221.538273</v>
      </c>
      <c r="O27" s="15">
        <f t="shared" si="6"/>
        <v>80.559371999999996</v>
      </c>
      <c r="P27" s="16">
        <f t="shared" si="2"/>
        <v>503.49607499999996</v>
      </c>
    </row>
    <row r="28" spans="1:16" x14ac:dyDescent="0.25">
      <c r="A28" s="7">
        <v>46935</v>
      </c>
      <c r="B28" s="8" t="s">
        <v>19</v>
      </c>
      <c r="C28" s="13">
        <f t="shared" si="3"/>
        <v>118934.62638152245</v>
      </c>
      <c r="D28" s="13" cm="1">
        <f t="array" ref="D28">rendimento_poupança(C28,selic,TR)</f>
        <v>795.87087499333336</v>
      </c>
      <c r="E28" s="13">
        <v>0</v>
      </c>
      <c r="F28" s="13">
        <v>0</v>
      </c>
      <c r="G28" s="14">
        <f t="shared" si="4"/>
        <v>795.87087499333336</v>
      </c>
      <c r="J28" s="7">
        <v>46935</v>
      </c>
      <c r="K28" s="8" t="s">
        <v>17</v>
      </c>
      <c r="L28" s="13">
        <f t="shared" si="5"/>
        <v>112461.74215000001</v>
      </c>
      <c r="M28" s="13" cm="1">
        <f t="array" ref="M28">atualizar_aluguel($M$2,$J$2,J28,IGPM)</f>
        <v>805.59371999999996</v>
      </c>
      <c r="N28" s="13">
        <f t="shared" si="0"/>
        <v>221.538273</v>
      </c>
      <c r="O28" s="13">
        <f t="shared" si="6"/>
        <v>80.559371999999996</v>
      </c>
      <c r="P28" s="14">
        <f t="shared" si="2"/>
        <v>503.49607499999996</v>
      </c>
    </row>
    <row r="29" spans="1:16" x14ac:dyDescent="0.25">
      <c r="A29" s="9">
        <v>46966</v>
      </c>
      <c r="B29" s="10" t="s">
        <v>19</v>
      </c>
      <c r="C29" s="15">
        <f t="shared" si="3"/>
        <v>119730.49725651578</v>
      </c>
      <c r="D29" s="15" cm="1">
        <f t="array" ref="D29">rendimento_poupança(C29,selic,TR)</f>
        <v>801.19657776583335</v>
      </c>
      <c r="E29" s="15">
        <v>0</v>
      </c>
      <c r="F29" s="15">
        <v>0</v>
      </c>
      <c r="G29" s="16">
        <f t="shared" si="4"/>
        <v>801.19657776583335</v>
      </c>
      <c r="J29" s="9">
        <v>46966</v>
      </c>
      <c r="K29" s="10" t="s">
        <v>17</v>
      </c>
      <c r="L29" s="15">
        <f t="shared" si="5"/>
        <v>112965.23822500001</v>
      </c>
      <c r="M29" s="15" cm="1">
        <f t="array" ref="M29">atualizar_aluguel($M$2,$J$2,J29,IGPM)</f>
        <v>805.59371999999996</v>
      </c>
      <c r="N29" s="15">
        <f t="shared" si="0"/>
        <v>221.538273</v>
      </c>
      <c r="O29" s="15">
        <f t="shared" si="6"/>
        <v>80.559371999999996</v>
      </c>
      <c r="P29" s="16">
        <f t="shared" si="2"/>
        <v>503.49607499999996</v>
      </c>
    </row>
    <row r="30" spans="1:16" x14ac:dyDescent="0.25">
      <c r="A30" s="7">
        <v>46997</v>
      </c>
      <c r="B30" s="8" t="s">
        <v>19</v>
      </c>
      <c r="C30" s="13">
        <f t="shared" si="3"/>
        <v>120531.69383428161</v>
      </c>
      <c r="D30" s="13" cm="1">
        <f t="array" ref="D30">rendimento_poupança(C30,selic,TR)</f>
        <v>806.5579176783333</v>
      </c>
      <c r="E30" s="13">
        <v>0</v>
      </c>
      <c r="F30" s="13">
        <v>0</v>
      </c>
      <c r="G30" s="14">
        <f t="shared" si="4"/>
        <v>806.5579176783333</v>
      </c>
      <c r="J30" s="7">
        <v>46997</v>
      </c>
      <c r="K30" s="8" t="s">
        <v>17</v>
      </c>
      <c r="L30" s="13">
        <f t="shared" si="5"/>
        <v>113468.73430000001</v>
      </c>
      <c r="M30" s="13" cm="1">
        <f t="array" ref="M30">atualizar_aluguel($M$2,$J$2,J30,IGPM)</f>
        <v>805.59371999999996</v>
      </c>
      <c r="N30" s="13">
        <f t="shared" si="0"/>
        <v>221.538273</v>
      </c>
      <c r="O30" s="13">
        <f t="shared" si="6"/>
        <v>80.559371999999996</v>
      </c>
      <c r="P30" s="14">
        <f t="shared" si="2"/>
        <v>503.49607499999996</v>
      </c>
    </row>
    <row r="31" spans="1:16" x14ac:dyDescent="0.25">
      <c r="A31" s="9">
        <v>47027</v>
      </c>
      <c r="B31" s="10" t="s">
        <v>19</v>
      </c>
      <c r="C31" s="15">
        <f t="shared" si="3"/>
        <v>121338.25175195995</v>
      </c>
      <c r="D31" s="15" cm="1">
        <f t="array" ref="D31">rendimento_poupança(C31,selic,TR)</f>
        <v>811.95513496166666</v>
      </c>
      <c r="E31" s="15">
        <v>0</v>
      </c>
      <c r="F31" s="15">
        <v>0</v>
      </c>
      <c r="G31" s="16">
        <f t="shared" si="4"/>
        <v>811.95513496166666</v>
      </c>
      <c r="J31" s="9">
        <v>47027</v>
      </c>
      <c r="K31" s="10" t="s">
        <v>17</v>
      </c>
      <c r="L31" s="15">
        <f t="shared" si="5"/>
        <v>113972.23037500001</v>
      </c>
      <c r="M31" s="15" cm="1">
        <f t="array" ref="M31">atualizar_aluguel($M$2,$J$2,J31,IGPM)</f>
        <v>805.59371999999996</v>
      </c>
      <c r="N31" s="15">
        <f t="shared" si="0"/>
        <v>221.538273</v>
      </c>
      <c r="O31" s="15">
        <f t="shared" si="6"/>
        <v>80.559371999999996</v>
      </c>
      <c r="P31" s="16">
        <f t="shared" si="2"/>
        <v>503.49607499999996</v>
      </c>
    </row>
    <row r="32" spans="1:16" x14ac:dyDescent="0.25">
      <c r="A32" s="7">
        <v>47058</v>
      </c>
      <c r="B32" s="8" t="s">
        <v>19</v>
      </c>
      <c r="C32" s="13">
        <f t="shared" si="3"/>
        <v>122150.20688692162</v>
      </c>
      <c r="D32" s="13" cm="1">
        <f t="array" ref="D32">rendimento_poupança(C32,selic,TR)</f>
        <v>817.38846783916676</v>
      </c>
      <c r="E32" s="13">
        <v>0</v>
      </c>
      <c r="F32" s="13">
        <v>0</v>
      </c>
      <c r="G32" s="14">
        <f t="shared" si="4"/>
        <v>817.38846783916676</v>
      </c>
      <c r="J32" s="7">
        <v>47058</v>
      </c>
      <c r="K32" s="8" t="s">
        <v>17</v>
      </c>
      <c r="L32" s="13">
        <f t="shared" si="5"/>
        <v>114475.72645000002</v>
      </c>
      <c r="M32" s="13" cm="1">
        <f t="array" ref="M32">atualizar_aluguel($M$2,$J$2,J32,IGPM)</f>
        <v>805.59371999999996</v>
      </c>
      <c r="N32" s="13">
        <f t="shared" si="0"/>
        <v>221.538273</v>
      </c>
      <c r="O32" s="13">
        <f t="shared" si="6"/>
        <v>80.559371999999996</v>
      </c>
      <c r="P32" s="14">
        <f t="shared" si="2"/>
        <v>503.49607499999996</v>
      </c>
    </row>
    <row r="33" spans="1:16" x14ac:dyDescent="0.25">
      <c r="A33" s="9">
        <v>47088</v>
      </c>
      <c r="B33" s="10" t="s">
        <v>19</v>
      </c>
      <c r="C33" s="15">
        <f t="shared" si="3"/>
        <v>122967.59535476078</v>
      </c>
      <c r="D33" s="15" cm="1">
        <f t="array" ref="D33">rendimento_poupança(C33,selic,TR)</f>
        <v>822.85815921833341</v>
      </c>
      <c r="E33" s="15">
        <v>0</v>
      </c>
      <c r="F33" s="15">
        <v>0</v>
      </c>
      <c r="G33" s="16">
        <f t="shared" si="4"/>
        <v>822.85815921833341</v>
      </c>
      <c r="J33" s="9">
        <v>47088</v>
      </c>
      <c r="K33" s="10" t="s">
        <v>17</v>
      </c>
      <c r="L33" s="15">
        <f t="shared" si="5"/>
        <v>114979.22252500002</v>
      </c>
      <c r="M33" s="15" cm="1">
        <f t="array" ref="M33">atualizar_aluguel($M$2,$J$2,J33,IGPM)</f>
        <v>805.59371999999996</v>
      </c>
      <c r="N33" s="15">
        <f t="shared" si="0"/>
        <v>221.538273</v>
      </c>
      <c r="O33" s="15">
        <f t="shared" si="6"/>
        <v>80.559371999999996</v>
      </c>
      <c r="P33" s="16">
        <f t="shared" si="2"/>
        <v>503.49607499999996</v>
      </c>
    </row>
    <row r="34" spans="1:16" x14ac:dyDescent="0.25">
      <c r="A34" s="7">
        <v>47119</v>
      </c>
      <c r="B34" s="8" t="s">
        <v>19</v>
      </c>
      <c r="C34" s="13">
        <f t="shared" si="3"/>
        <v>123790.45351397911</v>
      </c>
      <c r="D34" s="13" cm="1">
        <f t="array" ref="D34">rendimento_poupança(C34,selic,TR)</f>
        <v>828.3644513375001</v>
      </c>
      <c r="E34" s="13">
        <v>0</v>
      </c>
      <c r="F34" s="13">
        <v>0</v>
      </c>
      <c r="G34" s="14">
        <f t="shared" si="4"/>
        <v>828.3644513375001</v>
      </c>
      <c r="J34" s="7">
        <v>47119</v>
      </c>
      <c r="K34" s="8" t="s">
        <v>17</v>
      </c>
      <c r="L34" s="13">
        <f t="shared" si="5"/>
        <v>115482.71860000002</v>
      </c>
      <c r="M34" s="13" cm="1">
        <f t="array" ref="M34">atualizar_aluguel($M$2,$J$2,J34,IGPM)</f>
        <v>805.59371999999996</v>
      </c>
      <c r="N34" s="13">
        <f t="shared" si="0"/>
        <v>221.538273</v>
      </c>
      <c r="O34" s="13">
        <f t="shared" si="6"/>
        <v>80.559371999999996</v>
      </c>
      <c r="P34" s="14">
        <f t="shared" si="2"/>
        <v>503.49607499999996</v>
      </c>
    </row>
    <row r="35" spans="1:16" x14ac:dyDescent="0.25">
      <c r="A35" s="9">
        <v>47150</v>
      </c>
      <c r="B35" s="10" t="s">
        <v>19</v>
      </c>
      <c r="C35" s="15">
        <f t="shared" si="3"/>
        <v>124618.81796531662</v>
      </c>
      <c r="D35" s="15" cm="1">
        <f t="array" ref="D35">rendimento_poupança(C35,selic,TR)</f>
        <v>833.90759045000004</v>
      </c>
      <c r="E35" s="15">
        <v>0</v>
      </c>
      <c r="F35" s="15">
        <v>0</v>
      </c>
      <c r="G35" s="16">
        <f t="shared" si="4"/>
        <v>833.90759045000004</v>
      </c>
      <c r="J35" s="9">
        <v>47150</v>
      </c>
      <c r="K35" s="10" t="s">
        <v>17</v>
      </c>
      <c r="L35" s="15">
        <f t="shared" si="5"/>
        <v>115986.21467500002</v>
      </c>
      <c r="M35" s="15" cm="1">
        <f t="array" ref="M35">atualizar_aluguel($M$2,$J$2,J35,IGPM)</f>
        <v>805.59371999999996</v>
      </c>
      <c r="N35" s="15">
        <f t="shared" si="0"/>
        <v>221.538273</v>
      </c>
      <c r="O35" s="15">
        <f t="shared" si="6"/>
        <v>80.559371999999996</v>
      </c>
      <c r="P35" s="16">
        <f t="shared" si="2"/>
        <v>503.49607499999996</v>
      </c>
    </row>
    <row r="36" spans="1:16" x14ac:dyDescent="0.25">
      <c r="A36" s="7">
        <v>47178</v>
      </c>
      <c r="B36" s="8" t="s">
        <v>19</v>
      </c>
      <c r="C36" s="13">
        <f t="shared" si="3"/>
        <v>125452.72555576662</v>
      </c>
      <c r="D36" s="13" cm="1">
        <f t="array" ref="D36">rendimento_poupança(C36,selic,TR)</f>
        <v>839.48782214000005</v>
      </c>
      <c r="E36" s="13">
        <v>0</v>
      </c>
      <c r="F36" s="13">
        <v>0</v>
      </c>
      <c r="G36" s="14">
        <f t="shared" si="4"/>
        <v>839.48782214000005</v>
      </c>
      <c r="J36" s="7">
        <v>47178</v>
      </c>
      <c r="K36" s="8" t="s">
        <v>17</v>
      </c>
      <c r="L36" s="13">
        <f t="shared" si="5"/>
        <v>116489.71075000003</v>
      </c>
      <c r="M36" s="13" cm="1">
        <f t="array" ref="M36">atualizar_aluguel($M$2,$J$2,J36,IGPM)</f>
        <v>805.59371999999996</v>
      </c>
      <c r="N36" s="13">
        <f t="shared" si="0"/>
        <v>221.538273</v>
      </c>
      <c r="O36" s="13">
        <f t="shared" si="6"/>
        <v>80.559371999999996</v>
      </c>
      <c r="P36" s="14">
        <f t="shared" si="2"/>
        <v>503.49607499999996</v>
      </c>
    </row>
    <row r="37" spans="1:16" x14ac:dyDescent="0.25">
      <c r="A37" s="9">
        <v>47209</v>
      </c>
      <c r="B37" s="10" t="s">
        <v>19</v>
      </c>
      <c r="C37" s="15">
        <f t="shared" si="3"/>
        <v>126292.21337790662</v>
      </c>
      <c r="D37" s="15" cm="1">
        <f t="array" ref="D37">rendimento_poupança(C37,selic,TR)</f>
        <v>845.10539466833336</v>
      </c>
      <c r="E37" s="15">
        <v>0</v>
      </c>
      <c r="F37" s="15">
        <v>0</v>
      </c>
      <c r="G37" s="16">
        <f t="shared" si="4"/>
        <v>845.10539466833336</v>
      </c>
      <c r="J37" s="9">
        <v>47209</v>
      </c>
      <c r="K37" s="10" t="s">
        <v>17</v>
      </c>
      <c r="L37" s="15">
        <f t="shared" si="5"/>
        <v>116993.20682500003</v>
      </c>
      <c r="M37" s="15" cm="1">
        <f t="array" ref="M37">atualizar_aluguel($M$2,$J$2,J37,IGPM)</f>
        <v>805.59371999999996</v>
      </c>
      <c r="N37" s="15">
        <f t="shared" si="0"/>
        <v>221.538273</v>
      </c>
      <c r="O37" s="15">
        <f t="shared" si="6"/>
        <v>80.559371999999996</v>
      </c>
      <c r="P37" s="16">
        <f t="shared" si="2"/>
        <v>503.49607499999996</v>
      </c>
    </row>
    <row r="38" spans="1:16" x14ac:dyDescent="0.25">
      <c r="A38" s="7">
        <v>47239</v>
      </c>
      <c r="B38" s="8" t="s">
        <v>19</v>
      </c>
      <c r="C38" s="13">
        <f t="shared" si="3"/>
        <v>127137.31877257496</v>
      </c>
      <c r="D38" s="13" cm="1">
        <f t="array" ref="D38">rendimento_poupança(C38,selic,TR)</f>
        <v>850.76055830333337</v>
      </c>
      <c r="E38" s="13">
        <v>0</v>
      </c>
      <c r="F38" s="13">
        <v>0</v>
      </c>
      <c r="G38" s="14">
        <f t="shared" si="4"/>
        <v>850.76055830333337</v>
      </c>
      <c r="J38" s="7">
        <v>47239</v>
      </c>
      <c r="K38" s="8" t="s">
        <v>17</v>
      </c>
      <c r="L38" s="13">
        <f t="shared" si="5"/>
        <v>117496.70290000003</v>
      </c>
      <c r="M38" s="13" cm="1">
        <f t="array" ref="M38">atualizar_aluguel($M$2,$J$2,J38,IGPM)</f>
        <v>834.917331408</v>
      </c>
      <c r="N38" s="13">
        <f t="shared" si="0"/>
        <v>229.60226613720002</v>
      </c>
      <c r="O38" s="13">
        <f t="shared" si="6"/>
        <v>83.491733140800008</v>
      </c>
      <c r="P38" s="14">
        <f t="shared" si="2"/>
        <v>521.82333213000004</v>
      </c>
    </row>
    <row r="39" spans="1:16" x14ac:dyDescent="0.25">
      <c r="A39" s="9">
        <v>47270</v>
      </c>
      <c r="B39" s="10" t="s">
        <v>19</v>
      </c>
      <c r="C39" s="15">
        <f t="shared" si="3"/>
        <v>127988.07933087829</v>
      </c>
      <c r="D39" s="15" cm="1">
        <f t="array" ref="D39">rendimento_poupança(C39,selic,TR)</f>
        <v>856.45356398249999</v>
      </c>
      <c r="E39" s="15">
        <v>0</v>
      </c>
      <c r="F39" s="15">
        <v>0</v>
      </c>
      <c r="G39" s="16">
        <f t="shared" si="4"/>
        <v>856.45356398249999</v>
      </c>
      <c r="J39" s="9">
        <v>47270</v>
      </c>
      <c r="K39" s="10" t="s">
        <v>17</v>
      </c>
      <c r="L39" s="15">
        <f t="shared" si="5"/>
        <v>118018.52623213004</v>
      </c>
      <c r="M39" s="15" cm="1">
        <f t="array" ref="M39">atualizar_aluguel($M$2,$J$2,J39,IGPM)</f>
        <v>834.917331408</v>
      </c>
      <c r="N39" s="15">
        <f t="shared" si="0"/>
        <v>229.60226613720002</v>
      </c>
      <c r="O39" s="15">
        <f t="shared" si="6"/>
        <v>83.491733140800008</v>
      </c>
      <c r="P39" s="16">
        <f t="shared" si="2"/>
        <v>521.82333213000004</v>
      </c>
    </row>
    <row r="40" spans="1:16" x14ac:dyDescent="0.25">
      <c r="A40" s="7">
        <v>47300</v>
      </c>
      <c r="B40" s="8" t="s">
        <v>19</v>
      </c>
      <c r="C40" s="13">
        <f t="shared" si="3"/>
        <v>128844.53289486079</v>
      </c>
      <c r="D40" s="13" cm="1">
        <f t="array" ref="D40">rendimento_poupança(C40,selic,TR)</f>
        <v>862.18466598916677</v>
      </c>
      <c r="E40" s="13">
        <v>0</v>
      </c>
      <c r="F40" s="13">
        <v>0</v>
      </c>
      <c r="G40" s="14">
        <f t="shared" si="4"/>
        <v>862.18466598916677</v>
      </c>
      <c r="J40" s="7">
        <v>47300</v>
      </c>
      <c r="K40" s="8" t="s">
        <v>17</v>
      </c>
      <c r="L40" s="13">
        <f t="shared" si="5"/>
        <v>118540.34956426005</v>
      </c>
      <c r="M40" s="13" cm="1">
        <f t="array" ref="M40">atualizar_aluguel($M$2,$J$2,J40,IGPM)</f>
        <v>834.917331408</v>
      </c>
      <c r="N40" s="13">
        <f t="shared" si="0"/>
        <v>229.60226613720002</v>
      </c>
      <c r="O40" s="13">
        <f t="shared" si="6"/>
        <v>83.491733140800008</v>
      </c>
      <c r="P40" s="14">
        <f t="shared" si="2"/>
        <v>521.82333213000004</v>
      </c>
    </row>
    <row r="41" spans="1:16" x14ac:dyDescent="0.25">
      <c r="A41" s="9">
        <v>47331</v>
      </c>
      <c r="B41" s="10" t="s">
        <v>19</v>
      </c>
      <c r="C41" s="15">
        <f t="shared" si="3"/>
        <v>129706.71756084995</v>
      </c>
      <c r="D41" s="15" cm="1">
        <f t="array" ref="D41">rendimento_poupança(C41,selic,TR)</f>
        <v>867.95411860666673</v>
      </c>
      <c r="E41" s="15">
        <v>0</v>
      </c>
      <c r="F41" s="15">
        <v>0</v>
      </c>
      <c r="G41" s="16">
        <f t="shared" si="4"/>
        <v>867.95411860666673</v>
      </c>
      <c r="J41" s="9">
        <v>47331</v>
      </c>
      <c r="K41" s="10" t="s">
        <v>17</v>
      </c>
      <c r="L41" s="15">
        <f t="shared" si="5"/>
        <v>119062.17289639005</v>
      </c>
      <c r="M41" s="15" cm="1">
        <f t="array" ref="M41">atualizar_aluguel($M$2,$J$2,J41,IGPM)</f>
        <v>834.917331408</v>
      </c>
      <c r="N41" s="15">
        <f t="shared" si="0"/>
        <v>229.60226613720002</v>
      </c>
      <c r="O41" s="15">
        <f t="shared" si="6"/>
        <v>83.491733140800008</v>
      </c>
      <c r="P41" s="16">
        <f t="shared" si="2"/>
        <v>521.82333213000004</v>
      </c>
    </row>
    <row r="42" spans="1:16" x14ac:dyDescent="0.25">
      <c r="A42" s="7">
        <v>47362</v>
      </c>
      <c r="B42" s="8" t="s">
        <v>19</v>
      </c>
      <c r="C42" s="13">
        <f t="shared" si="3"/>
        <v>130574.67167945662</v>
      </c>
      <c r="D42" s="13" cm="1">
        <f t="array" ref="D42">rendimento_poupança(C42,selic,TR)</f>
        <v>873.76217812583343</v>
      </c>
      <c r="E42" s="13">
        <v>0</v>
      </c>
      <c r="F42" s="13">
        <v>0</v>
      </c>
      <c r="G42" s="14">
        <f t="shared" si="4"/>
        <v>873.76217812583343</v>
      </c>
      <c r="J42" s="7">
        <v>47362</v>
      </c>
      <c r="K42" s="8" t="s">
        <v>17</v>
      </c>
      <c r="L42" s="13">
        <f t="shared" si="5"/>
        <v>119583.99622852006</v>
      </c>
      <c r="M42" s="13" cm="1">
        <f t="array" ref="M42">atualizar_aluguel($M$2,$J$2,J42,IGPM)</f>
        <v>834.917331408</v>
      </c>
      <c r="N42" s="13">
        <f t="shared" si="0"/>
        <v>229.60226613720002</v>
      </c>
      <c r="O42" s="13">
        <f t="shared" si="6"/>
        <v>83.491733140800008</v>
      </c>
      <c r="P42" s="14">
        <f t="shared" si="2"/>
        <v>521.82333213000004</v>
      </c>
    </row>
    <row r="43" spans="1:16" x14ac:dyDescent="0.25">
      <c r="A43" s="9">
        <v>47392</v>
      </c>
      <c r="B43" s="10" t="s">
        <v>19</v>
      </c>
      <c r="C43" s="15">
        <f t="shared" si="3"/>
        <v>131448.43385758245</v>
      </c>
      <c r="D43" s="15" cm="1">
        <f t="array" ref="D43">rendimento_poupança(C43,selic,TR)</f>
        <v>879.60910351416669</v>
      </c>
      <c r="E43" s="15">
        <v>0</v>
      </c>
      <c r="F43" s="15">
        <v>0</v>
      </c>
      <c r="G43" s="16">
        <f t="shared" si="4"/>
        <v>879.60910351416669</v>
      </c>
      <c r="J43" s="9">
        <v>47392</v>
      </c>
      <c r="K43" s="10" t="s">
        <v>17</v>
      </c>
      <c r="L43" s="15">
        <f t="shared" si="5"/>
        <v>120105.81956065007</v>
      </c>
      <c r="M43" s="15" cm="1">
        <f t="array" ref="M43">atualizar_aluguel($M$2,$J$2,J43,IGPM)</f>
        <v>834.917331408</v>
      </c>
      <c r="N43" s="15">
        <f t="shared" si="0"/>
        <v>229.60226613720002</v>
      </c>
      <c r="O43" s="15">
        <f t="shared" si="6"/>
        <v>83.491733140800008</v>
      </c>
      <c r="P43" s="16">
        <f t="shared" si="2"/>
        <v>521.82333213000004</v>
      </c>
    </row>
    <row r="44" spans="1:16" x14ac:dyDescent="0.25">
      <c r="A44" s="7">
        <v>47423</v>
      </c>
      <c r="B44" s="8" t="s">
        <v>19</v>
      </c>
      <c r="C44" s="13">
        <f t="shared" si="3"/>
        <v>132328.04296109662</v>
      </c>
      <c r="D44" s="13" cm="1">
        <f t="array" ref="D44">rendimento_poupança(C44,selic,TR)</f>
        <v>885.49515440833341</v>
      </c>
      <c r="E44" s="13">
        <v>0</v>
      </c>
      <c r="F44" s="13">
        <v>0</v>
      </c>
      <c r="G44" s="14">
        <f t="shared" si="4"/>
        <v>885.49515440833341</v>
      </c>
      <c r="J44" s="7">
        <v>47423</v>
      </c>
      <c r="K44" s="8" t="s">
        <v>17</v>
      </c>
      <c r="L44" s="13">
        <f t="shared" si="5"/>
        <v>120627.64289278007</v>
      </c>
      <c r="M44" s="13" cm="1">
        <f t="array" ref="M44">atualizar_aluguel($M$2,$J$2,J44,IGPM)</f>
        <v>834.917331408</v>
      </c>
      <c r="N44" s="13">
        <f t="shared" si="0"/>
        <v>229.60226613720002</v>
      </c>
      <c r="O44" s="13">
        <f t="shared" si="6"/>
        <v>83.491733140800008</v>
      </c>
      <c r="P44" s="14">
        <f t="shared" si="2"/>
        <v>521.82333213000004</v>
      </c>
    </row>
    <row r="45" spans="1:16" x14ac:dyDescent="0.25">
      <c r="A45" s="9">
        <v>47453</v>
      </c>
      <c r="B45" s="10" t="s">
        <v>19</v>
      </c>
      <c r="C45" s="15">
        <f t="shared" si="3"/>
        <v>133213.53811550495</v>
      </c>
      <c r="D45" s="15" cm="1">
        <f t="array" ref="D45">rendimento_poupança(C45,selic,TR)</f>
        <v>891.42059245250005</v>
      </c>
      <c r="E45" s="15">
        <v>0</v>
      </c>
      <c r="F45" s="15">
        <v>0</v>
      </c>
      <c r="G45" s="16">
        <f t="shared" si="4"/>
        <v>891.42059245250005</v>
      </c>
      <c r="J45" s="9">
        <v>47453</v>
      </c>
      <c r="K45" s="10" t="s">
        <v>17</v>
      </c>
      <c r="L45" s="15">
        <f t="shared" si="5"/>
        <v>121149.46622491008</v>
      </c>
      <c r="M45" s="15" cm="1">
        <f t="array" ref="M45">atualizar_aluguel($M$2,$J$2,J45,IGPM)</f>
        <v>834.917331408</v>
      </c>
      <c r="N45" s="15">
        <f t="shared" si="0"/>
        <v>229.60226613720002</v>
      </c>
      <c r="O45" s="15">
        <f t="shared" si="6"/>
        <v>83.491733140800008</v>
      </c>
      <c r="P45" s="16">
        <f t="shared" si="2"/>
        <v>521.82333213000004</v>
      </c>
    </row>
    <row r="46" spans="1:16" x14ac:dyDescent="0.25">
      <c r="A46" s="7">
        <v>47484</v>
      </c>
      <c r="B46" s="8" t="s">
        <v>19</v>
      </c>
      <c r="C46" s="13">
        <f t="shared" si="3"/>
        <v>134104.95870795744</v>
      </c>
      <c r="D46" s="13" cm="1">
        <f t="array" ref="D46">rendimento_poupança(C46,selic,TR)</f>
        <v>897.38568196749998</v>
      </c>
      <c r="E46" s="13">
        <v>0</v>
      </c>
      <c r="F46" s="13">
        <v>0</v>
      </c>
      <c r="G46" s="14">
        <f t="shared" si="4"/>
        <v>897.38568196749998</v>
      </c>
      <c r="J46" s="7">
        <v>47484</v>
      </c>
      <c r="K46" s="8" t="s">
        <v>17</v>
      </c>
      <c r="L46" s="13">
        <f t="shared" si="5"/>
        <v>121671.28955704009</v>
      </c>
      <c r="M46" s="13" cm="1">
        <f t="array" ref="M46">atualizar_aluguel($M$2,$J$2,J46,IGPM)</f>
        <v>834.917331408</v>
      </c>
      <c r="N46" s="13">
        <f t="shared" si="0"/>
        <v>229.60226613720002</v>
      </c>
      <c r="O46" s="13">
        <f t="shared" si="6"/>
        <v>83.491733140800008</v>
      </c>
      <c r="P46" s="14">
        <f t="shared" si="2"/>
        <v>521.82333213000004</v>
      </c>
    </row>
    <row r="47" spans="1:16" x14ac:dyDescent="0.25">
      <c r="A47" s="9">
        <v>47515</v>
      </c>
      <c r="B47" s="10" t="s">
        <v>19</v>
      </c>
      <c r="C47" s="15">
        <f t="shared" si="3"/>
        <v>135002.34438992495</v>
      </c>
      <c r="D47" s="15" cm="1">
        <f t="array" ref="D47">rendimento_poupança(C47,selic,TR)</f>
        <v>903.39068794333343</v>
      </c>
      <c r="E47" s="15">
        <v>0</v>
      </c>
      <c r="F47" s="15">
        <v>0</v>
      </c>
      <c r="G47" s="16">
        <f t="shared" si="4"/>
        <v>903.39068794333343</v>
      </c>
      <c r="J47" s="9">
        <v>47515</v>
      </c>
      <c r="K47" s="10" t="s">
        <v>17</v>
      </c>
      <c r="L47" s="15">
        <f t="shared" si="5"/>
        <v>122193.11288917009</v>
      </c>
      <c r="M47" s="15" cm="1">
        <f t="array" ref="M47">atualizar_aluguel($M$2,$J$2,J47,IGPM)</f>
        <v>834.917331408</v>
      </c>
      <c r="N47" s="15">
        <f t="shared" si="0"/>
        <v>229.60226613720002</v>
      </c>
      <c r="O47" s="15">
        <f t="shared" si="6"/>
        <v>83.491733140800008</v>
      </c>
      <c r="P47" s="16">
        <f t="shared" si="2"/>
        <v>521.82333213000004</v>
      </c>
    </row>
    <row r="48" spans="1:16" x14ac:dyDescent="0.25">
      <c r="A48" s="7">
        <v>47543</v>
      </c>
      <c r="B48" s="8" t="s">
        <v>19</v>
      </c>
      <c r="C48" s="13">
        <f t="shared" si="3"/>
        <v>135905.73507786827</v>
      </c>
      <c r="D48" s="13" cm="1">
        <f t="array" ref="D48">rendimento_poupança(C48,selic,TR)</f>
        <v>909.43587737749999</v>
      </c>
      <c r="E48" s="13">
        <v>0</v>
      </c>
      <c r="F48" s="13">
        <v>0</v>
      </c>
      <c r="G48" s="14">
        <f t="shared" si="4"/>
        <v>909.43587737749999</v>
      </c>
      <c r="J48" s="7">
        <v>47543</v>
      </c>
      <c r="K48" s="8" t="s">
        <v>17</v>
      </c>
      <c r="L48" s="13">
        <f t="shared" si="5"/>
        <v>122714.9362213001</v>
      </c>
      <c r="M48" s="13" cm="1">
        <f t="array" ref="M48">atualizar_aluguel($M$2,$J$2,J48,IGPM)</f>
        <v>834.917331408</v>
      </c>
      <c r="N48" s="13">
        <f t="shared" si="0"/>
        <v>229.60226613720002</v>
      </c>
      <c r="O48" s="13">
        <f t="shared" si="6"/>
        <v>83.491733140800008</v>
      </c>
      <c r="P48" s="14">
        <f t="shared" si="2"/>
        <v>521.82333213000004</v>
      </c>
    </row>
    <row r="49" spans="1:16" x14ac:dyDescent="0.25">
      <c r="A49" s="9">
        <v>47574</v>
      </c>
      <c r="B49" s="10" t="s">
        <v>19</v>
      </c>
      <c r="C49" s="15">
        <f t="shared" si="3"/>
        <v>136815.17095524576</v>
      </c>
      <c r="D49" s="15" cm="1">
        <f t="array" ref="D49">rendimento_poupança(C49,selic,TR)</f>
        <v>915.52151927500006</v>
      </c>
      <c r="E49" s="15">
        <v>0</v>
      </c>
      <c r="F49" s="15">
        <v>0</v>
      </c>
      <c r="G49" s="16">
        <f t="shared" si="4"/>
        <v>915.52151927500006</v>
      </c>
      <c r="J49" s="9">
        <v>47574</v>
      </c>
      <c r="K49" s="10" t="s">
        <v>17</v>
      </c>
      <c r="L49" s="15">
        <f t="shared" si="5"/>
        <v>123236.75955343011</v>
      </c>
      <c r="M49" s="15" cm="1">
        <f t="array" ref="M49">atualizar_aluguel($M$2,$J$2,J49,IGPM)</f>
        <v>834.917331408</v>
      </c>
      <c r="N49" s="15">
        <f t="shared" si="0"/>
        <v>229.60226613720002</v>
      </c>
      <c r="O49" s="15">
        <f t="shared" si="6"/>
        <v>83.491733140800008</v>
      </c>
      <c r="P49" s="16">
        <f t="shared" si="2"/>
        <v>521.82333213000004</v>
      </c>
    </row>
    <row r="50" spans="1:16" x14ac:dyDescent="0.25">
      <c r="A50" s="7">
        <v>47604</v>
      </c>
      <c r="B50" s="8" t="s">
        <v>19</v>
      </c>
      <c r="C50" s="13">
        <f t="shared" si="3"/>
        <v>137730.69247452077</v>
      </c>
      <c r="D50" s="13" cm="1">
        <f t="array" ref="D50">rendimento_poupança(C50,selic,TR)</f>
        <v>921.64788397916675</v>
      </c>
      <c r="E50" s="13">
        <v>0</v>
      </c>
      <c r="F50" s="13">
        <v>0</v>
      </c>
      <c r="G50" s="14">
        <f t="shared" si="4"/>
        <v>921.64788397916675</v>
      </c>
      <c r="J50" s="7">
        <v>47604</v>
      </c>
      <c r="K50" s="8" t="s">
        <v>17</v>
      </c>
      <c r="L50" s="13">
        <f t="shared" si="5"/>
        <v>123758.58288556011</v>
      </c>
      <c r="M50" s="13" cm="1">
        <f t="array" ref="M50">atualizar_aluguel($M$2,$J$2,J50,IGPM)</f>
        <v>865.3083222712512</v>
      </c>
      <c r="N50" s="13">
        <f t="shared" si="0"/>
        <v>237.9597886245941</v>
      </c>
      <c r="O50" s="13">
        <f t="shared" si="6"/>
        <v>86.530832227125131</v>
      </c>
      <c r="P50" s="14">
        <f t="shared" si="2"/>
        <v>540.81770141953189</v>
      </c>
    </row>
    <row r="51" spans="1:16" x14ac:dyDescent="0.25">
      <c r="A51" s="9">
        <v>47635</v>
      </c>
      <c r="B51" s="10" t="s">
        <v>19</v>
      </c>
      <c r="C51" s="15">
        <f t="shared" si="3"/>
        <v>138652.34035849993</v>
      </c>
      <c r="D51" s="15" cm="1">
        <f t="array" ref="D51">rendimento_poupança(C51,selic,TR)</f>
        <v>927.81524450999996</v>
      </c>
      <c r="E51" s="15">
        <v>0</v>
      </c>
      <c r="F51" s="15">
        <v>0</v>
      </c>
      <c r="G51" s="16">
        <f t="shared" si="4"/>
        <v>927.81524450999996</v>
      </c>
      <c r="J51" s="9">
        <v>47635</v>
      </c>
      <c r="K51" s="10" t="s">
        <v>17</v>
      </c>
      <c r="L51" s="15">
        <f t="shared" si="5"/>
        <v>124299.40058697965</v>
      </c>
      <c r="M51" s="15" cm="1">
        <f t="array" ref="M51">atualizar_aluguel($M$2,$J$2,J51,IGPM)</f>
        <v>865.3083222712512</v>
      </c>
      <c r="N51" s="15">
        <f t="shared" si="0"/>
        <v>237.9597886245941</v>
      </c>
      <c r="O51" s="15">
        <f t="shared" si="6"/>
        <v>86.530832227125131</v>
      </c>
      <c r="P51" s="16">
        <f t="shared" si="2"/>
        <v>540.81770141953189</v>
      </c>
    </row>
    <row r="52" spans="1:16" x14ac:dyDescent="0.25">
      <c r="A52" s="7">
        <v>47665</v>
      </c>
      <c r="B52" s="8" t="s">
        <v>19</v>
      </c>
      <c r="C52" s="13">
        <f t="shared" si="3"/>
        <v>139580.15560300995</v>
      </c>
      <c r="D52" s="13" cm="1">
        <f t="array" ref="D52">rendimento_poupança(C52,selic,TR)</f>
        <v>934.02387455666667</v>
      </c>
      <c r="E52" s="13">
        <v>0</v>
      </c>
      <c r="F52" s="13">
        <v>0</v>
      </c>
      <c r="G52" s="14">
        <f t="shared" si="4"/>
        <v>934.02387455666667</v>
      </c>
      <c r="J52" s="7">
        <v>47665</v>
      </c>
      <c r="K52" s="8" t="s">
        <v>17</v>
      </c>
      <c r="L52" s="13">
        <f t="shared" si="5"/>
        <v>124840.21828839919</v>
      </c>
      <c r="M52" s="13" cm="1">
        <f t="array" ref="M52">atualizar_aluguel($M$2,$J$2,J52,IGPM)</f>
        <v>865.3083222712512</v>
      </c>
      <c r="N52" s="13">
        <f t="shared" si="0"/>
        <v>237.9597886245941</v>
      </c>
      <c r="O52" s="13">
        <f t="shared" si="6"/>
        <v>86.530832227125131</v>
      </c>
      <c r="P52" s="14">
        <f t="shared" si="2"/>
        <v>540.81770141953189</v>
      </c>
    </row>
    <row r="53" spans="1:16" x14ac:dyDescent="0.25">
      <c r="A53" s="9">
        <v>47696</v>
      </c>
      <c r="B53" s="10" t="s">
        <v>19</v>
      </c>
      <c r="C53" s="15">
        <f t="shared" si="3"/>
        <v>140514.17947756662</v>
      </c>
      <c r="D53" s="15" cm="1">
        <f t="array" ref="D53">rendimento_poupança(C53,selic,TR)</f>
        <v>940.27405115416673</v>
      </c>
      <c r="E53" s="15">
        <v>0</v>
      </c>
      <c r="F53" s="15">
        <v>0</v>
      </c>
      <c r="G53" s="16">
        <f t="shared" si="4"/>
        <v>940.27405115416673</v>
      </c>
      <c r="J53" s="9">
        <v>47696</v>
      </c>
      <c r="K53" s="10" t="s">
        <v>17</v>
      </c>
      <c r="L53" s="15">
        <f t="shared" si="5"/>
        <v>125381.03598981873</v>
      </c>
      <c r="M53" s="15" cm="1">
        <f t="array" ref="M53">atualizar_aluguel($M$2,$J$2,J53,IGPM)</f>
        <v>865.3083222712512</v>
      </c>
      <c r="N53" s="15">
        <f t="shared" si="0"/>
        <v>237.9597886245941</v>
      </c>
      <c r="O53" s="15">
        <f t="shared" si="6"/>
        <v>86.530832227125131</v>
      </c>
      <c r="P53" s="16">
        <f t="shared" si="2"/>
        <v>540.81770141953189</v>
      </c>
    </row>
    <row r="54" spans="1:16" x14ac:dyDescent="0.25">
      <c r="A54" s="7">
        <v>47727</v>
      </c>
      <c r="B54" s="8" t="s">
        <v>19</v>
      </c>
      <c r="C54" s="13">
        <f t="shared" si="3"/>
        <v>141454.4535287208</v>
      </c>
      <c r="D54" s="13" cm="1">
        <f t="array" ref="D54">rendimento_poupança(C54,selic,TR)</f>
        <v>946.56605133750008</v>
      </c>
      <c r="E54" s="13">
        <v>0</v>
      </c>
      <c r="F54" s="13">
        <v>0</v>
      </c>
      <c r="G54" s="14">
        <f t="shared" si="4"/>
        <v>946.56605133750008</v>
      </c>
      <c r="J54" s="7">
        <v>47727</v>
      </c>
      <c r="K54" s="8" t="s">
        <v>17</v>
      </c>
      <c r="L54" s="13">
        <f t="shared" si="5"/>
        <v>125921.85369123827</v>
      </c>
      <c r="M54" s="13" cm="1">
        <f t="array" ref="M54">atualizar_aluguel($M$2,$J$2,J54,IGPM)</f>
        <v>865.3083222712512</v>
      </c>
      <c r="N54" s="13">
        <f t="shared" si="0"/>
        <v>237.9597886245941</v>
      </c>
      <c r="O54" s="13">
        <f t="shared" si="6"/>
        <v>86.530832227125131</v>
      </c>
      <c r="P54" s="14">
        <f t="shared" si="2"/>
        <v>540.81770141953189</v>
      </c>
    </row>
    <row r="55" spans="1:16" x14ac:dyDescent="0.25">
      <c r="A55" s="9">
        <v>47757</v>
      </c>
      <c r="B55" s="10" t="s">
        <v>19</v>
      </c>
      <c r="C55" s="15">
        <f t="shared" si="3"/>
        <v>142401.01958005829</v>
      </c>
      <c r="D55" s="15" cm="1">
        <f t="array" ref="D55">rendimento_poupança(C55,selic,TR)</f>
        <v>952.90015615666675</v>
      </c>
      <c r="E55" s="15">
        <v>0</v>
      </c>
      <c r="F55" s="15">
        <v>0</v>
      </c>
      <c r="G55" s="16">
        <f t="shared" si="4"/>
        <v>952.90015615666675</v>
      </c>
      <c r="J55" s="9">
        <v>47757</v>
      </c>
      <c r="K55" s="10" t="s">
        <v>17</v>
      </c>
      <c r="L55" s="15">
        <f t="shared" si="5"/>
        <v>126462.67139265781</v>
      </c>
      <c r="M55" s="15" cm="1">
        <f t="array" ref="M55">atualizar_aluguel($M$2,$J$2,J55,IGPM)</f>
        <v>865.3083222712512</v>
      </c>
      <c r="N55" s="15">
        <f t="shared" si="0"/>
        <v>237.9597886245941</v>
      </c>
      <c r="O55" s="15">
        <f t="shared" si="6"/>
        <v>86.530832227125131</v>
      </c>
      <c r="P55" s="16">
        <f t="shared" si="2"/>
        <v>540.81770141953189</v>
      </c>
    </row>
    <row r="56" spans="1:16" x14ac:dyDescent="0.25">
      <c r="A56" s="7">
        <v>47788</v>
      </c>
      <c r="B56" s="8" t="s">
        <v>19</v>
      </c>
      <c r="C56" s="13">
        <f t="shared" si="3"/>
        <v>143353.91973621494</v>
      </c>
      <c r="D56" s="13" cm="1">
        <f t="array" ref="D56">rendimento_poupança(C56,selic,TR)</f>
        <v>959.27664599249999</v>
      </c>
      <c r="E56" s="13">
        <v>0</v>
      </c>
      <c r="F56" s="13">
        <v>0</v>
      </c>
      <c r="G56" s="14">
        <f t="shared" si="4"/>
        <v>959.27664599249999</v>
      </c>
      <c r="J56" s="7">
        <v>47788</v>
      </c>
      <c r="K56" s="8" t="s">
        <v>17</v>
      </c>
      <c r="L56" s="13">
        <f t="shared" si="5"/>
        <v>127003.48909407735</v>
      </c>
      <c r="M56" s="13" cm="1">
        <f t="array" ref="M56">atualizar_aluguel($M$2,$J$2,J56,IGPM)</f>
        <v>865.3083222712512</v>
      </c>
      <c r="N56" s="13">
        <f t="shared" si="0"/>
        <v>237.9597886245941</v>
      </c>
      <c r="O56" s="13">
        <f t="shared" si="6"/>
        <v>86.530832227125131</v>
      </c>
      <c r="P56" s="14">
        <f t="shared" si="2"/>
        <v>540.81770141953189</v>
      </c>
    </row>
    <row r="57" spans="1:16" x14ac:dyDescent="0.25">
      <c r="A57" s="9">
        <v>47818</v>
      </c>
      <c r="B57" s="10" t="s">
        <v>19</v>
      </c>
      <c r="C57" s="15">
        <f t="shared" si="3"/>
        <v>144313.19638220745</v>
      </c>
      <c r="D57" s="15" cm="1">
        <f t="array" ref="D57">rendimento_poupança(C57,selic,TR)</f>
        <v>965.69580590999999</v>
      </c>
      <c r="E57" s="15">
        <v>0</v>
      </c>
      <c r="F57" s="15">
        <v>0</v>
      </c>
      <c r="G57" s="16">
        <f t="shared" si="4"/>
        <v>965.69580590999999</v>
      </c>
      <c r="J57" s="9">
        <v>47818</v>
      </c>
      <c r="K57" s="10" t="s">
        <v>17</v>
      </c>
      <c r="L57" s="15">
        <f t="shared" si="5"/>
        <v>127544.30679549689</v>
      </c>
      <c r="M57" s="15" cm="1">
        <f t="array" ref="M57">atualizar_aluguel($M$2,$J$2,J57,IGPM)</f>
        <v>865.3083222712512</v>
      </c>
      <c r="N57" s="15">
        <f t="shared" si="0"/>
        <v>237.9597886245941</v>
      </c>
      <c r="O57" s="15">
        <f t="shared" si="6"/>
        <v>86.530832227125131</v>
      </c>
      <c r="P57" s="16">
        <f t="shared" si="2"/>
        <v>540.81770141953189</v>
      </c>
    </row>
    <row r="58" spans="1:16" x14ac:dyDescent="0.25">
      <c r="A58" s="7">
        <v>47849</v>
      </c>
      <c r="B58" s="8" t="s">
        <v>19</v>
      </c>
      <c r="C58" s="13">
        <f t="shared" si="3"/>
        <v>145278.89218811746</v>
      </c>
      <c r="D58" s="13" cm="1">
        <f t="array" ref="D58">rendimento_poupança(C58,selic,TR)</f>
        <v>972.15792030500006</v>
      </c>
      <c r="E58" s="13">
        <v>0</v>
      </c>
      <c r="F58" s="13">
        <v>0</v>
      </c>
      <c r="G58" s="14">
        <f t="shared" si="4"/>
        <v>972.15792030500006</v>
      </c>
      <c r="J58" s="7">
        <v>47849</v>
      </c>
      <c r="K58" s="8" t="s">
        <v>17</v>
      </c>
      <c r="L58" s="13">
        <f t="shared" si="5"/>
        <v>128085.12449691643</v>
      </c>
      <c r="M58" s="13" cm="1">
        <f t="array" ref="M58">atualizar_aluguel($M$2,$J$2,J58,IGPM)</f>
        <v>865.3083222712512</v>
      </c>
      <c r="N58" s="13">
        <f t="shared" si="0"/>
        <v>237.9597886245941</v>
      </c>
      <c r="O58" s="13">
        <f t="shared" si="6"/>
        <v>86.530832227125131</v>
      </c>
      <c r="P58" s="14">
        <f t="shared" si="2"/>
        <v>540.81770141953189</v>
      </c>
    </row>
    <row r="59" spans="1:16" x14ac:dyDescent="0.25">
      <c r="A59" s="9">
        <v>47880</v>
      </c>
      <c r="B59" s="10" t="s">
        <v>19</v>
      </c>
      <c r="C59" s="15">
        <f t="shared" si="3"/>
        <v>146251.05010842247</v>
      </c>
      <c r="D59" s="15" cm="1">
        <f t="array" ref="D59">rendimento_poupança(C59,selic,TR)</f>
        <v>978.66327691916661</v>
      </c>
      <c r="E59" s="15">
        <v>0</v>
      </c>
      <c r="F59" s="15">
        <v>0</v>
      </c>
      <c r="G59" s="16">
        <f t="shared" si="4"/>
        <v>978.66327691916661</v>
      </c>
      <c r="J59" s="9">
        <v>47880</v>
      </c>
      <c r="K59" s="10" t="s">
        <v>17</v>
      </c>
      <c r="L59" s="15">
        <f t="shared" si="5"/>
        <v>128625.94219833596</v>
      </c>
      <c r="M59" s="15" cm="1">
        <f t="array" ref="M59">atualizar_aluguel($M$2,$J$2,J59,IGPM)</f>
        <v>865.3083222712512</v>
      </c>
      <c r="N59" s="15">
        <f t="shared" si="0"/>
        <v>237.9597886245941</v>
      </c>
      <c r="O59" s="15">
        <f t="shared" si="6"/>
        <v>86.530832227125131</v>
      </c>
      <c r="P59" s="16">
        <f t="shared" si="2"/>
        <v>540.81770141953189</v>
      </c>
    </row>
    <row r="60" spans="1:16" x14ac:dyDescent="0.25">
      <c r="A60" s="7">
        <v>47908</v>
      </c>
      <c r="B60" s="8" t="s">
        <v>19</v>
      </c>
      <c r="C60" s="13">
        <f t="shared" si="3"/>
        <v>147229.71338534163</v>
      </c>
      <c r="D60" s="13" cm="1">
        <f t="array" ref="D60">rendimento_poupança(C60,selic,TR)</f>
        <v>985.21216550166673</v>
      </c>
      <c r="E60" s="13">
        <v>0</v>
      </c>
      <c r="F60" s="13">
        <v>0</v>
      </c>
      <c r="G60" s="14">
        <f t="shared" si="4"/>
        <v>985.21216550166673</v>
      </c>
      <c r="J60" s="7">
        <v>47908</v>
      </c>
      <c r="K60" s="8" t="s">
        <v>17</v>
      </c>
      <c r="L60" s="13">
        <f t="shared" si="5"/>
        <v>129166.7598997555</v>
      </c>
      <c r="M60" s="13" cm="1">
        <f t="array" ref="M60">atualizar_aluguel($M$2,$J$2,J60,IGPM)</f>
        <v>865.3083222712512</v>
      </c>
      <c r="N60" s="13">
        <f t="shared" si="0"/>
        <v>237.9597886245941</v>
      </c>
      <c r="O60" s="13">
        <f t="shared" si="6"/>
        <v>86.530832227125131</v>
      </c>
      <c r="P60" s="14">
        <f t="shared" si="2"/>
        <v>540.81770141953189</v>
      </c>
    </row>
    <row r="61" spans="1:16" x14ac:dyDescent="0.25">
      <c r="A61" s="9">
        <v>47939</v>
      </c>
      <c r="B61" s="10" t="s">
        <v>19</v>
      </c>
      <c r="C61" s="15">
        <f t="shared" si="3"/>
        <v>148214.9255508433</v>
      </c>
      <c r="D61" s="15" cm="1">
        <f t="array" ref="D61">rendimento_poupança(C61,selic,TR)</f>
        <v>991.80487713999992</v>
      </c>
      <c r="E61" s="15">
        <v>0</v>
      </c>
      <c r="F61" s="15">
        <v>0</v>
      </c>
      <c r="G61" s="16">
        <f t="shared" si="4"/>
        <v>991.80487713999992</v>
      </c>
      <c r="J61" s="9">
        <v>47939</v>
      </c>
      <c r="K61" s="10" t="s">
        <v>17</v>
      </c>
      <c r="L61" s="15">
        <f t="shared" si="5"/>
        <v>129707.57760117504</v>
      </c>
      <c r="M61" s="15" cm="1">
        <f t="array" ref="M61">atualizar_aluguel($M$2,$J$2,J61,IGPM)</f>
        <v>865.3083222712512</v>
      </c>
      <c r="N61" s="15">
        <f t="shared" si="0"/>
        <v>237.9597886245941</v>
      </c>
      <c r="O61" s="15">
        <f t="shared" si="6"/>
        <v>86.530832227125131</v>
      </c>
      <c r="P61" s="16">
        <f t="shared" si="2"/>
        <v>540.81770141953189</v>
      </c>
    </row>
    <row r="62" spans="1:16" x14ac:dyDescent="0.25">
      <c r="A62" s="7">
        <v>46143</v>
      </c>
      <c r="B62" s="8" t="s">
        <v>6</v>
      </c>
      <c r="C62" s="13">
        <v>100000</v>
      </c>
      <c r="D62" s="13" cm="1">
        <f t="array" ref="D62">rendimento_cdb(C62,CDI,CDB)</f>
        <v>1281.875</v>
      </c>
      <c r="E62" s="13" cm="1">
        <f t="array" ref="E62">irpf_regressiva(D62,0.15)</f>
        <v>192.28125</v>
      </c>
      <c r="F62" s="13">
        <v>0</v>
      </c>
      <c r="G62" s="14">
        <f t="shared" si="4"/>
        <v>1089.59375</v>
      </c>
    </row>
    <row r="63" spans="1:16" x14ac:dyDescent="0.25">
      <c r="A63" s="9">
        <v>46174</v>
      </c>
      <c r="B63" s="10" t="s">
        <v>6</v>
      </c>
      <c r="C63" s="15">
        <f>C62+G62</f>
        <v>101089.59375</v>
      </c>
      <c r="D63" s="15" cm="1">
        <f t="array" ref="D63">rendimento_cdb(C63,CDI,CDB)</f>
        <v>1295.84223052375</v>
      </c>
      <c r="E63" s="15" cm="1">
        <f t="array" ref="E63">irpf_regressiva(D63,0.15)</f>
        <v>194.37633</v>
      </c>
      <c r="F63" s="15">
        <v>0</v>
      </c>
      <c r="G63" s="16">
        <f t="shared" ref="G63" si="7">D63-E63-F63</f>
        <v>1101.46590052375</v>
      </c>
    </row>
    <row r="64" spans="1:16" x14ac:dyDescent="0.25">
      <c r="A64" s="7">
        <v>46204</v>
      </c>
      <c r="B64" s="8" t="s">
        <v>6</v>
      </c>
      <c r="C64" s="13">
        <f t="shared" ref="C64:C111" si="8">C63+G63</f>
        <v>102191.05965052375</v>
      </c>
      <c r="D64" s="13" cm="1">
        <f t="array" ref="D64">rendimento_cdb(C64,CDI,CDB)</f>
        <v>1309.961646529375</v>
      </c>
      <c r="E64" s="13" cm="1">
        <f t="array" ref="E64">irpf_regressiva(D64,0.15)</f>
        <v>196.49424000000002</v>
      </c>
      <c r="F64" s="13">
        <v>0</v>
      </c>
      <c r="G64" s="14">
        <f t="shared" ref="G64:G111" si="9">D64-E64-F64</f>
        <v>1113.467406529375</v>
      </c>
    </row>
    <row r="65" spans="1:7" x14ac:dyDescent="0.25">
      <c r="A65" s="9">
        <v>46235</v>
      </c>
      <c r="B65" s="10" t="s">
        <v>6</v>
      </c>
      <c r="C65" s="15">
        <f t="shared" si="8"/>
        <v>103304.52705705313</v>
      </c>
      <c r="D65" s="15" cm="1">
        <f t="array" ref="D65">rendimento_cdb(C65,CDI,CDB)</f>
        <v>1324.2349067631251</v>
      </c>
      <c r="E65" s="15" cm="1">
        <f t="array" ref="E65">irpf_regressiva(D65,0.15)</f>
        <v>198.63523499999999</v>
      </c>
      <c r="F65" s="15">
        <v>0</v>
      </c>
      <c r="G65" s="16">
        <f t="shared" si="9"/>
        <v>1125.5996717631251</v>
      </c>
    </row>
    <row r="66" spans="1:7" x14ac:dyDescent="0.25">
      <c r="A66" s="7">
        <v>46266</v>
      </c>
      <c r="B66" s="8" t="s">
        <v>6</v>
      </c>
      <c r="C66" s="13">
        <f t="shared" si="8"/>
        <v>104430.12672881625</v>
      </c>
      <c r="D66" s="13" cm="1">
        <f t="array" ref="D66">rendimento_cdb(C66,CDI,CDB)</f>
        <v>1338.663686635625</v>
      </c>
      <c r="E66" s="13" cm="1">
        <f t="array" ref="E66">irpf_regressiva(D66,0.15)</f>
        <v>200.799555</v>
      </c>
      <c r="F66" s="13">
        <v>0</v>
      </c>
      <c r="G66" s="14">
        <f t="shared" si="9"/>
        <v>1137.864131635625</v>
      </c>
    </row>
    <row r="67" spans="1:7" x14ac:dyDescent="0.25">
      <c r="A67" s="9">
        <v>46296</v>
      </c>
      <c r="B67" s="10" t="s">
        <v>6</v>
      </c>
      <c r="C67" s="15">
        <f t="shared" si="8"/>
        <v>105567.99086045187</v>
      </c>
      <c r="D67" s="15" cm="1">
        <f t="array" ref="D67">rendimento_cdb(C67,CDI,CDB)</f>
        <v>1353.2496833493751</v>
      </c>
      <c r="E67" s="15" cm="1">
        <f t="array" ref="E67">irpf_regressiva(D67,0.15)</f>
        <v>202.98745500000001</v>
      </c>
      <c r="F67" s="15">
        <v>0</v>
      </c>
      <c r="G67" s="16">
        <f t="shared" si="9"/>
        <v>1150.2622283493752</v>
      </c>
    </row>
    <row r="68" spans="1:7" x14ac:dyDescent="0.25">
      <c r="A68" s="7">
        <v>46327</v>
      </c>
      <c r="B68" s="8" t="s">
        <v>6</v>
      </c>
      <c r="C68" s="13">
        <f t="shared" si="8"/>
        <v>106718.25308880124</v>
      </c>
      <c r="D68" s="13" cm="1">
        <f t="array" ref="D68">rendimento_cdb(C68,CDI,CDB)</f>
        <v>1367.994606925625</v>
      </c>
      <c r="E68" s="13" cm="1">
        <f t="array" ref="E68">irpf_regressiva(D68,0.15)</f>
        <v>205.19918999999999</v>
      </c>
      <c r="F68" s="13">
        <v>0</v>
      </c>
      <c r="G68" s="14">
        <f t="shared" si="9"/>
        <v>1162.795416925625</v>
      </c>
    </row>
    <row r="69" spans="1:7" x14ac:dyDescent="0.25">
      <c r="A69" s="9">
        <v>46357</v>
      </c>
      <c r="B69" s="10" t="s">
        <v>6</v>
      </c>
      <c r="C69" s="15">
        <f t="shared" si="8"/>
        <v>107881.04850572687</v>
      </c>
      <c r="D69" s="15" cm="1">
        <f t="array" ref="D69">rendimento_cdb(C69,CDI,CDB)</f>
        <v>1382.9001904593752</v>
      </c>
      <c r="E69" s="15" cm="1">
        <f t="array" ref="E69">irpf_regressiva(D69,0.15)</f>
        <v>207.43503000000001</v>
      </c>
      <c r="F69" s="15">
        <v>0</v>
      </c>
      <c r="G69" s="16">
        <f t="shared" si="9"/>
        <v>1175.4651604593751</v>
      </c>
    </row>
    <row r="70" spans="1:7" x14ac:dyDescent="0.25">
      <c r="A70" s="7">
        <v>46388</v>
      </c>
      <c r="B70" s="8" t="s">
        <v>6</v>
      </c>
      <c r="C70" s="13">
        <f t="shared" si="8"/>
        <v>109056.51366618625</v>
      </c>
      <c r="D70" s="13" cm="1">
        <f t="array" ref="D70">rendimento_cdb(C70,CDI,CDB)</f>
        <v>1397.968184991875</v>
      </c>
      <c r="E70" s="13" cm="1">
        <f t="array" ref="E70">irpf_regressiva(D70,0.15)</f>
        <v>209.69523000000001</v>
      </c>
      <c r="F70" s="13">
        <v>0</v>
      </c>
      <c r="G70" s="14">
        <f t="shared" si="9"/>
        <v>1188.2729549918749</v>
      </c>
    </row>
    <row r="71" spans="1:7" x14ac:dyDescent="0.25">
      <c r="A71" s="9">
        <v>46419</v>
      </c>
      <c r="B71" s="10" t="s">
        <v>6</v>
      </c>
      <c r="C71" s="15">
        <f t="shared" si="8"/>
        <v>110244.78662117812</v>
      </c>
      <c r="D71" s="15" cm="1">
        <f t="array" ref="D71">rendimento_cdb(C71,CDI,CDB)</f>
        <v>1413.20035822875</v>
      </c>
      <c r="E71" s="15" cm="1">
        <f t="array" ref="E71">irpf_regressiva(D71,0.15)</f>
        <v>211.98005999999998</v>
      </c>
      <c r="F71" s="15">
        <v>0</v>
      </c>
      <c r="G71" s="16">
        <f t="shared" si="9"/>
        <v>1201.2202982287499</v>
      </c>
    </row>
    <row r="72" spans="1:7" x14ac:dyDescent="0.25">
      <c r="A72" s="7">
        <v>46447</v>
      </c>
      <c r="B72" s="8" t="s">
        <v>6</v>
      </c>
      <c r="C72" s="13">
        <f t="shared" si="8"/>
        <v>111446.00691940688</v>
      </c>
      <c r="D72" s="13" cm="1">
        <f t="array" ref="D72">rendimento_cdb(C72,CDI,CDB)</f>
        <v>1428.598500949375</v>
      </c>
      <c r="E72" s="13" cm="1">
        <f t="array" ref="E72">irpf_regressiva(D72,0.15)</f>
        <v>214.28977499999999</v>
      </c>
      <c r="F72" s="13">
        <v>0</v>
      </c>
      <c r="G72" s="14">
        <f t="shared" si="9"/>
        <v>1214.308725949375</v>
      </c>
    </row>
    <row r="73" spans="1:7" x14ac:dyDescent="0.25">
      <c r="A73" s="9">
        <v>46478</v>
      </c>
      <c r="B73" s="10" t="s">
        <v>6</v>
      </c>
      <c r="C73" s="15">
        <f t="shared" si="8"/>
        <v>112660.31564535626</v>
      </c>
      <c r="D73" s="15" cm="1">
        <f t="array" ref="D73">rendimento_cdb(C73,CDI,CDB)</f>
        <v>1444.1644205975001</v>
      </c>
      <c r="E73" s="15" cm="1">
        <f t="array" ref="E73">irpf_regressiva(D73,0.15)</f>
        <v>216.62465999999998</v>
      </c>
      <c r="F73" s="15">
        <v>0</v>
      </c>
      <c r="G73" s="16">
        <f t="shared" si="9"/>
        <v>1227.5397605975002</v>
      </c>
    </row>
    <row r="74" spans="1:7" x14ac:dyDescent="0.25">
      <c r="A74" s="7">
        <v>46508</v>
      </c>
      <c r="B74" s="8" t="s">
        <v>6</v>
      </c>
      <c r="C74" s="13">
        <f t="shared" si="8"/>
        <v>113887.85540595376</v>
      </c>
      <c r="D74" s="13" cm="1">
        <f t="array" ref="D74">rendimento_cdb(C74,CDI,CDB)</f>
        <v>1459.8999464087501</v>
      </c>
      <c r="E74" s="13" cm="1">
        <f t="array" ref="E74">irpf_regressiva(D74,0.15)</f>
        <v>218.98498499999997</v>
      </c>
      <c r="F74" s="13">
        <v>0</v>
      </c>
      <c r="G74" s="14">
        <f t="shared" si="9"/>
        <v>1240.9149614087501</v>
      </c>
    </row>
    <row r="75" spans="1:7" x14ac:dyDescent="0.25">
      <c r="A75" s="9">
        <v>46539</v>
      </c>
      <c r="B75" s="10" t="s">
        <v>6</v>
      </c>
      <c r="C75" s="15">
        <f t="shared" si="8"/>
        <v>115128.77036736251</v>
      </c>
      <c r="D75" s="15" cm="1">
        <f t="array" ref="D75">rendimento_cdb(C75,CDI,CDB)</f>
        <v>1475.806925565</v>
      </c>
      <c r="E75" s="15" cm="1">
        <f t="array" ref="E75">irpf_regressiva(D75,0.15)</f>
        <v>221.37103500000001</v>
      </c>
      <c r="F75" s="15">
        <v>0</v>
      </c>
      <c r="G75" s="16">
        <f t="shared" si="9"/>
        <v>1254.4358905650001</v>
      </c>
    </row>
    <row r="76" spans="1:7" x14ac:dyDescent="0.25">
      <c r="A76" s="7">
        <v>46569</v>
      </c>
      <c r="B76" s="8" t="s">
        <v>6</v>
      </c>
      <c r="C76" s="13">
        <f t="shared" si="8"/>
        <v>116383.20625792751</v>
      </c>
      <c r="D76" s="13" cm="1">
        <f t="array" ref="D76">rendimento_cdb(C76,CDI,CDB)</f>
        <v>1491.8872257581252</v>
      </c>
      <c r="E76" s="13" cm="1">
        <f t="array" ref="E76">irpf_regressiva(D76,0.15)</f>
        <v>223.78307999999998</v>
      </c>
      <c r="F76" s="13">
        <v>0</v>
      </c>
      <c r="G76" s="14">
        <f t="shared" si="9"/>
        <v>1268.1041457581252</v>
      </c>
    </row>
    <row r="77" spans="1:7" x14ac:dyDescent="0.25">
      <c r="A77" s="9">
        <v>46600</v>
      </c>
      <c r="B77" s="10" t="s">
        <v>6</v>
      </c>
      <c r="C77" s="15">
        <f t="shared" si="8"/>
        <v>117651.31040368564</v>
      </c>
      <c r="D77" s="15" cm="1">
        <f t="array" ref="D77">rendimento_cdb(C77,CDI,CDB)</f>
        <v>1508.1427351900002</v>
      </c>
      <c r="E77" s="15" cm="1">
        <f t="array" ref="E77">irpf_regressiva(D77,0.15)</f>
        <v>226.221405</v>
      </c>
      <c r="F77" s="15">
        <v>0</v>
      </c>
      <c r="G77" s="16">
        <f t="shared" si="9"/>
        <v>1281.9213301900002</v>
      </c>
    </row>
    <row r="78" spans="1:7" x14ac:dyDescent="0.25">
      <c r="A78" s="7">
        <v>46631</v>
      </c>
      <c r="B78" s="8" t="s">
        <v>6</v>
      </c>
      <c r="C78" s="13">
        <f t="shared" si="8"/>
        <v>118933.23173387564</v>
      </c>
      <c r="D78" s="13" cm="1">
        <f t="array" ref="D78">rendimento_cdb(C78,CDI,CDB)</f>
        <v>1524.5753638543752</v>
      </c>
      <c r="E78" s="13" cm="1">
        <f t="array" ref="E78">irpf_regressiva(D78,0.15)</f>
        <v>228.68630999999999</v>
      </c>
      <c r="F78" s="13">
        <v>0</v>
      </c>
      <c r="G78" s="14">
        <f t="shared" si="9"/>
        <v>1295.8890538543751</v>
      </c>
    </row>
    <row r="79" spans="1:7" x14ac:dyDescent="0.25">
      <c r="A79" s="9">
        <v>46661</v>
      </c>
      <c r="B79" s="10" t="s">
        <v>6</v>
      </c>
      <c r="C79" s="15">
        <f t="shared" si="8"/>
        <v>120229.12078773002</v>
      </c>
      <c r="D79" s="15" cm="1">
        <f t="array" ref="D79">rendimento_cdb(C79,CDI,CDB)</f>
        <v>1541.1870422550001</v>
      </c>
      <c r="E79" s="15" cm="1">
        <f t="array" ref="E79">irpf_regressiva(D79,0.15)</f>
        <v>231.17804999999998</v>
      </c>
      <c r="F79" s="15">
        <v>0</v>
      </c>
      <c r="G79" s="16">
        <f t="shared" si="9"/>
        <v>1310.0089922550001</v>
      </c>
    </row>
    <row r="80" spans="1:7" x14ac:dyDescent="0.25">
      <c r="A80" s="7">
        <v>46692</v>
      </c>
      <c r="B80" s="8" t="s">
        <v>6</v>
      </c>
      <c r="C80" s="13">
        <f t="shared" si="8"/>
        <v>121539.12977998501</v>
      </c>
      <c r="D80" s="13" cm="1">
        <f t="array" ref="D80">rendimento_cdb(C80,CDI,CDB)</f>
        <v>1557.97972012375</v>
      </c>
      <c r="E80" s="13" cm="1">
        <f t="array" ref="E80">irpf_regressiva(D80,0.15)</f>
        <v>233.696955</v>
      </c>
      <c r="F80" s="13">
        <v>0</v>
      </c>
      <c r="G80" s="14">
        <f t="shared" si="9"/>
        <v>1324.2827651237499</v>
      </c>
    </row>
    <row r="81" spans="1:7" x14ac:dyDescent="0.25">
      <c r="A81" s="9">
        <v>46722</v>
      </c>
      <c r="B81" s="10" t="s">
        <v>6</v>
      </c>
      <c r="C81" s="15">
        <f t="shared" si="8"/>
        <v>122863.41254510876</v>
      </c>
      <c r="D81" s="15" cm="1">
        <f t="array" ref="D81">rendimento_cdb(C81,CDI,CDB)</f>
        <v>1574.9553689843751</v>
      </c>
      <c r="E81" s="15" cm="1">
        <f t="array" ref="E81">irpf_regressiva(D81,0.15)</f>
        <v>236.24331000000001</v>
      </c>
      <c r="F81" s="15">
        <v>0</v>
      </c>
      <c r="G81" s="16">
        <f t="shared" si="9"/>
        <v>1338.7120589843751</v>
      </c>
    </row>
    <row r="82" spans="1:7" x14ac:dyDescent="0.25">
      <c r="A82" s="7">
        <v>46753</v>
      </c>
      <c r="B82" s="8" t="s">
        <v>6</v>
      </c>
      <c r="C82" s="13">
        <f t="shared" si="8"/>
        <v>124202.12460409313</v>
      </c>
      <c r="D82" s="13" cm="1">
        <f t="array" ref="D82">rendimento_cdb(C82,CDI,CDB)</f>
        <v>1592.1159847162501</v>
      </c>
      <c r="E82" s="13" cm="1">
        <f t="array" ref="E82">irpf_regressiva(D82,0.15)</f>
        <v>238.81739999999999</v>
      </c>
      <c r="F82" s="13">
        <v>0</v>
      </c>
      <c r="G82" s="14">
        <f t="shared" si="9"/>
        <v>1353.2985847162502</v>
      </c>
    </row>
    <row r="83" spans="1:7" x14ac:dyDescent="0.25">
      <c r="A83" s="9">
        <v>46784</v>
      </c>
      <c r="B83" s="10" t="s">
        <v>6</v>
      </c>
      <c r="C83" s="15">
        <f t="shared" si="8"/>
        <v>125555.42318880938</v>
      </c>
      <c r="D83" s="15" cm="1">
        <f t="array" ref="D83">rendimento_cdb(C83,CDI,CDB)</f>
        <v>1609.463581145</v>
      </c>
      <c r="E83" s="15" cm="1">
        <f t="array" ref="E83">irpf_regressiva(D83,0.15)</f>
        <v>241.41953999999998</v>
      </c>
      <c r="F83" s="15">
        <v>0</v>
      </c>
      <c r="G83" s="16">
        <f t="shared" si="9"/>
        <v>1368.0440411449999</v>
      </c>
    </row>
    <row r="84" spans="1:7" x14ac:dyDescent="0.25">
      <c r="A84" s="7">
        <v>46813</v>
      </c>
      <c r="B84" s="8" t="s">
        <v>6</v>
      </c>
      <c r="C84" s="13">
        <f t="shared" si="8"/>
        <v>126923.46722995437</v>
      </c>
      <c r="D84" s="13" cm="1">
        <f t="array" ref="D84">rendimento_cdb(C84,CDI,CDB)</f>
        <v>1627.0001951700001</v>
      </c>
      <c r="E84" s="13" cm="1">
        <f t="array" ref="E84">irpf_regressiva(D84,0.15)</f>
        <v>244.05002999999999</v>
      </c>
      <c r="F84" s="13">
        <v>0</v>
      </c>
      <c r="G84" s="14">
        <f t="shared" si="9"/>
        <v>1382.9501651700002</v>
      </c>
    </row>
    <row r="85" spans="1:7" x14ac:dyDescent="0.25">
      <c r="A85" s="9">
        <v>46844</v>
      </c>
      <c r="B85" s="10" t="s">
        <v>6</v>
      </c>
      <c r="C85" s="15">
        <f t="shared" si="8"/>
        <v>128306.41739512437</v>
      </c>
      <c r="D85" s="15" cm="1">
        <f t="array" ref="D85">rendimento_cdb(C85,CDI,CDB)</f>
        <v>1644.7278880462502</v>
      </c>
      <c r="E85" s="15" cm="1">
        <f t="array" ref="E85">irpf_regressiva(D85,0.15)</f>
        <v>246.70918499999999</v>
      </c>
      <c r="F85" s="15">
        <v>0</v>
      </c>
      <c r="G85" s="16">
        <f t="shared" si="9"/>
        <v>1398.0187030462503</v>
      </c>
    </row>
    <row r="86" spans="1:7" x14ac:dyDescent="0.25">
      <c r="A86" s="7">
        <v>46874</v>
      </c>
      <c r="B86" s="8" t="s">
        <v>6</v>
      </c>
      <c r="C86" s="13">
        <f t="shared" si="8"/>
        <v>129704.43609817063</v>
      </c>
      <c r="D86" s="13" cm="1">
        <f t="array" ref="D86">rendimento_cdb(C86,CDI,CDB)</f>
        <v>1662.648740256875</v>
      </c>
      <c r="E86" s="13" cm="1">
        <f t="array" ref="E86">irpf_regressiva(D86,0.15)</f>
        <v>249.39730499999999</v>
      </c>
      <c r="F86" s="13">
        <v>0</v>
      </c>
      <c r="G86" s="14">
        <f t="shared" si="9"/>
        <v>1413.2514352568751</v>
      </c>
    </row>
    <row r="87" spans="1:7" x14ac:dyDescent="0.25">
      <c r="A87" s="9">
        <v>46905</v>
      </c>
      <c r="B87" s="10" t="s">
        <v>6</v>
      </c>
      <c r="C87" s="15">
        <f t="shared" si="8"/>
        <v>131117.6875334275</v>
      </c>
      <c r="D87" s="15" cm="1">
        <f t="array" ref="D87">rendimento_cdb(C87,CDI,CDB)</f>
        <v>1680.7648566406251</v>
      </c>
      <c r="E87" s="15" cm="1">
        <f t="array" ref="E87">irpf_regressiva(D87,0.15)</f>
        <v>252.11473499999997</v>
      </c>
      <c r="F87" s="15">
        <v>0</v>
      </c>
      <c r="G87" s="16">
        <f t="shared" si="9"/>
        <v>1428.6501216406252</v>
      </c>
    </row>
    <row r="88" spans="1:7" x14ac:dyDescent="0.25">
      <c r="A88" s="7">
        <v>46935</v>
      </c>
      <c r="B88" s="8" t="s">
        <v>6</v>
      </c>
      <c r="C88" s="13">
        <f t="shared" si="8"/>
        <v>132546.33765506811</v>
      </c>
      <c r="D88" s="13" cm="1">
        <f t="array" ref="D88">rendimento_cdb(C88,CDI,CDB)</f>
        <v>1699.0783663918751</v>
      </c>
      <c r="E88" s="13" cm="1">
        <f t="array" ref="E88">irpf_regressiva(D88,0.15)</f>
        <v>254.86176</v>
      </c>
      <c r="F88" s="13">
        <v>0</v>
      </c>
      <c r="G88" s="14">
        <f t="shared" si="9"/>
        <v>1444.2166063918751</v>
      </c>
    </row>
    <row r="89" spans="1:7" x14ac:dyDescent="0.25">
      <c r="A89" s="9">
        <v>46966</v>
      </c>
      <c r="B89" s="10" t="s">
        <v>6</v>
      </c>
      <c r="C89" s="15">
        <f t="shared" si="8"/>
        <v>133990.55426146</v>
      </c>
      <c r="D89" s="15" cm="1">
        <f t="array" ref="D89">rendimento_cdb(C89,CDI,CDB)</f>
        <v>1717.5914179331248</v>
      </c>
      <c r="E89" s="15" cm="1">
        <f t="array" ref="E89">irpf_regressiva(D89,0.15)</f>
        <v>257.63871</v>
      </c>
      <c r="F89" s="15">
        <v>0</v>
      </c>
      <c r="G89" s="16">
        <f t="shared" si="9"/>
        <v>1459.9527079331249</v>
      </c>
    </row>
    <row r="90" spans="1:7" x14ac:dyDescent="0.25">
      <c r="A90" s="7">
        <v>46997</v>
      </c>
      <c r="B90" s="8" t="s">
        <v>6</v>
      </c>
      <c r="C90" s="13">
        <f t="shared" si="8"/>
        <v>135450.50696939311</v>
      </c>
      <c r="D90" s="13" cm="1">
        <f t="array" ref="D90">rendimento_cdb(C90,CDI,CDB)</f>
        <v>1736.3061866062501</v>
      </c>
      <c r="E90" s="13" cm="1">
        <f t="array" ref="E90">irpf_regressiva(D90,0.15)</f>
        <v>260.44592999999998</v>
      </c>
      <c r="F90" s="13">
        <v>0</v>
      </c>
      <c r="G90" s="14">
        <f t="shared" si="9"/>
        <v>1475.86025660625</v>
      </c>
    </row>
    <row r="91" spans="1:7" x14ac:dyDescent="0.25">
      <c r="A91" s="9">
        <v>47027</v>
      </c>
      <c r="B91" s="10" t="s">
        <v>6</v>
      </c>
      <c r="C91" s="15">
        <f t="shared" si="8"/>
        <v>136926.36722599936</v>
      </c>
      <c r="D91" s="15" cm="1">
        <f t="array" ref="D91">rendimento_cdb(C91,CDI,CDB)</f>
        <v>1755.224869545</v>
      </c>
      <c r="E91" s="15" cm="1">
        <f t="array" ref="E91">irpf_regressiva(D91,0.15)</f>
        <v>263.28373499999998</v>
      </c>
      <c r="F91" s="15">
        <v>0</v>
      </c>
      <c r="G91" s="16">
        <f t="shared" si="9"/>
        <v>1491.9411345450001</v>
      </c>
    </row>
    <row r="92" spans="1:7" x14ac:dyDescent="0.25">
      <c r="A92" s="7">
        <v>47058</v>
      </c>
      <c r="B92" s="8" t="s">
        <v>6</v>
      </c>
      <c r="C92" s="13">
        <f t="shared" si="8"/>
        <v>138418.30836054435</v>
      </c>
      <c r="D92" s="13" cm="1">
        <f t="array" ref="D92">rendimento_cdb(C92,CDI,CDB)</f>
        <v>1774.3496908025002</v>
      </c>
      <c r="E92" s="13" cm="1">
        <f t="array" ref="E92">irpf_regressiva(D92,0.15)</f>
        <v>266.15245499999997</v>
      </c>
      <c r="F92" s="13">
        <v>0</v>
      </c>
      <c r="G92" s="14">
        <f t="shared" si="9"/>
        <v>1508.1972358025002</v>
      </c>
    </row>
    <row r="93" spans="1:7" x14ac:dyDescent="0.25">
      <c r="A93" s="9">
        <v>47088</v>
      </c>
      <c r="B93" s="10" t="s">
        <v>6</v>
      </c>
      <c r="C93" s="15">
        <f t="shared" si="8"/>
        <v>139926.50559634686</v>
      </c>
      <c r="D93" s="15" cm="1">
        <f t="array" ref="D93">rendimento_cdb(C93,CDI,CDB)</f>
        <v>1793.68289366</v>
      </c>
      <c r="E93" s="15" cm="1">
        <f t="array" ref="E93">irpf_regressiva(D93,0.15)</f>
        <v>269.052435</v>
      </c>
      <c r="F93" s="15">
        <v>0</v>
      </c>
      <c r="G93" s="16">
        <f t="shared" si="9"/>
        <v>1524.6304586599999</v>
      </c>
    </row>
    <row r="94" spans="1:7" x14ac:dyDescent="0.25">
      <c r="A94" s="7">
        <v>47119</v>
      </c>
      <c r="B94" s="8" t="s">
        <v>6</v>
      </c>
      <c r="C94" s="13">
        <f t="shared" si="8"/>
        <v>141451.13605500685</v>
      </c>
      <c r="D94" s="13" cm="1">
        <f t="array" ref="D94">rendimento_cdb(C94,CDI,CDB)</f>
        <v>1813.226750881875</v>
      </c>
      <c r="E94" s="13" cm="1">
        <f t="array" ref="E94">irpf_regressiva(D94,0.15)</f>
        <v>271.98401999999999</v>
      </c>
      <c r="F94" s="13">
        <v>0</v>
      </c>
      <c r="G94" s="14">
        <f t="shared" si="9"/>
        <v>1541.2427308818751</v>
      </c>
    </row>
    <row r="95" spans="1:7" x14ac:dyDescent="0.25">
      <c r="A95" s="9">
        <v>47150</v>
      </c>
      <c r="B95" s="10" t="s">
        <v>6</v>
      </c>
      <c r="C95" s="15">
        <f t="shared" si="8"/>
        <v>142992.37878588872</v>
      </c>
      <c r="D95" s="15" cm="1">
        <f t="array" ref="D95">rendimento_cdb(C95,CDI,CDB)</f>
        <v>1832.9835557425001</v>
      </c>
      <c r="E95" s="15" cm="1">
        <f t="array" ref="E95">irpf_regressiva(D95,0.15)</f>
        <v>274.94754</v>
      </c>
      <c r="F95" s="15">
        <v>0</v>
      </c>
      <c r="G95" s="16">
        <f t="shared" si="9"/>
        <v>1558.0360157425002</v>
      </c>
    </row>
    <row r="96" spans="1:7" x14ac:dyDescent="0.25">
      <c r="A96" s="7">
        <v>47178</v>
      </c>
      <c r="B96" s="8" t="s">
        <v>6</v>
      </c>
      <c r="C96" s="13">
        <f t="shared" si="8"/>
        <v>144550.41480163121</v>
      </c>
      <c r="D96" s="13" cm="1">
        <f t="array" ref="D96">rendimento_cdb(C96,CDI,CDB)</f>
        <v>1852.9556297175</v>
      </c>
      <c r="E96" s="13" cm="1">
        <f t="array" ref="E96">irpf_regressiva(D96,0.15)</f>
        <v>277.94333999999998</v>
      </c>
      <c r="F96" s="13">
        <v>0</v>
      </c>
      <c r="G96" s="14">
        <f t="shared" si="9"/>
        <v>1575.0122897174999</v>
      </c>
    </row>
    <row r="97" spans="1:7" x14ac:dyDescent="0.25">
      <c r="A97" s="9">
        <v>47209</v>
      </c>
      <c r="B97" s="10" t="s">
        <v>6</v>
      </c>
      <c r="C97" s="15">
        <f t="shared" si="8"/>
        <v>146125.42709134871</v>
      </c>
      <c r="D97" s="15" cm="1">
        <f t="array" ref="D97">rendimento_cdb(C97,CDI,CDB)</f>
        <v>1873.145318638125</v>
      </c>
      <c r="E97" s="15" cm="1">
        <f t="array" ref="E97">irpf_regressiva(D97,0.15)</f>
        <v>280.97179499999999</v>
      </c>
      <c r="F97" s="15">
        <v>0</v>
      </c>
      <c r="G97" s="16">
        <f t="shared" si="9"/>
        <v>1592.1735236381251</v>
      </c>
    </row>
    <row r="98" spans="1:7" x14ac:dyDescent="0.25">
      <c r="A98" s="7">
        <v>47239</v>
      </c>
      <c r="B98" s="8" t="s">
        <v>6</v>
      </c>
      <c r="C98" s="13">
        <f t="shared" si="8"/>
        <v>147717.60061498685</v>
      </c>
      <c r="D98" s="13" cm="1">
        <f t="array" ref="D98">rendimento_cdb(C98,CDI,CDB)</f>
        <v>1893.5549926912502</v>
      </c>
      <c r="E98" s="13" cm="1">
        <f t="array" ref="E98">irpf_regressiva(D98,0.15)</f>
        <v>284.03325000000001</v>
      </c>
      <c r="F98" s="13">
        <v>0</v>
      </c>
      <c r="G98" s="14">
        <f t="shared" si="9"/>
        <v>1609.5217426912502</v>
      </c>
    </row>
    <row r="99" spans="1:7" x14ac:dyDescent="0.25">
      <c r="A99" s="9">
        <v>47270</v>
      </c>
      <c r="B99" s="10" t="s">
        <v>6</v>
      </c>
      <c r="C99" s="15">
        <f t="shared" si="8"/>
        <v>149327.1223576781</v>
      </c>
      <c r="D99" s="15" cm="1">
        <f t="array" ref="D99">rendimento_cdb(C99,CDI,CDB)</f>
        <v>1914.1870502649999</v>
      </c>
      <c r="E99" s="15" cm="1">
        <f t="array" ref="E99">irpf_regressiva(D99,0.15)</f>
        <v>287.12806499999999</v>
      </c>
      <c r="F99" s="15">
        <v>0</v>
      </c>
      <c r="G99" s="16">
        <f t="shared" si="9"/>
        <v>1627.058985265</v>
      </c>
    </row>
    <row r="100" spans="1:7" x14ac:dyDescent="0.25">
      <c r="A100" s="7">
        <v>47300</v>
      </c>
      <c r="B100" s="8" t="s">
        <v>6</v>
      </c>
      <c r="C100" s="13">
        <f t="shared" si="8"/>
        <v>150954.18134294311</v>
      </c>
      <c r="D100" s="13" cm="1">
        <f t="array" ref="D100">rendimento_cdb(C100,CDI,CDB)</f>
        <v>1935.0439115393749</v>
      </c>
      <c r="E100" s="13" cm="1">
        <f t="array" ref="E100">irpf_regressiva(D100,0.15)</f>
        <v>290.25658499999997</v>
      </c>
      <c r="F100" s="13">
        <v>0</v>
      </c>
      <c r="G100" s="14">
        <f t="shared" si="9"/>
        <v>1644.787326539375</v>
      </c>
    </row>
    <row r="101" spans="1:7" x14ac:dyDescent="0.25">
      <c r="A101" s="9">
        <v>47331</v>
      </c>
      <c r="B101" s="10" t="s">
        <v>6</v>
      </c>
      <c r="C101" s="15">
        <f t="shared" si="8"/>
        <v>152598.96866948248</v>
      </c>
      <c r="D101" s="15" cm="1">
        <f t="array" ref="D101">rendimento_cdb(C101,CDI,CDB)</f>
        <v>1956.1280300231251</v>
      </c>
      <c r="E101" s="15" cm="1">
        <f t="array" ref="E101">irpf_regressiva(D101,0.15)</f>
        <v>293.41919999999999</v>
      </c>
      <c r="F101" s="15">
        <v>0</v>
      </c>
      <c r="G101" s="16">
        <f t="shared" si="9"/>
        <v>1662.7088300231251</v>
      </c>
    </row>
    <row r="102" spans="1:7" x14ac:dyDescent="0.25">
      <c r="A102" s="7">
        <v>47362</v>
      </c>
      <c r="B102" s="8" t="s">
        <v>6</v>
      </c>
      <c r="C102" s="13">
        <f t="shared" si="8"/>
        <v>154261.6774995056</v>
      </c>
      <c r="D102" s="13" cm="1">
        <f t="array" ref="D102">rendimento_cdb(C102,CDI,CDB)</f>
        <v>1977.4418784531249</v>
      </c>
      <c r="E102" s="13" cm="1">
        <f t="array" ref="E102">irpf_regressiva(D102,0.15)</f>
        <v>296.616285</v>
      </c>
      <c r="F102" s="13">
        <v>0</v>
      </c>
      <c r="G102" s="14">
        <f t="shared" si="9"/>
        <v>1680.8255934531248</v>
      </c>
    </row>
    <row r="103" spans="1:7" x14ac:dyDescent="0.25">
      <c r="A103" s="9">
        <v>47392</v>
      </c>
      <c r="B103" s="10" t="s">
        <v>6</v>
      </c>
      <c r="C103" s="15">
        <f t="shared" si="8"/>
        <v>155942.50309295874</v>
      </c>
      <c r="D103" s="15" cm="1">
        <f t="array" ref="D103">rendimento_cdb(C103,CDI,CDB)</f>
        <v>1998.987961613125</v>
      </c>
      <c r="E103" s="15" cm="1">
        <f t="array" ref="E103">irpf_regressiva(D103,0.15)</f>
        <v>299.84820000000002</v>
      </c>
      <c r="F103" s="15">
        <v>0</v>
      </c>
      <c r="G103" s="16">
        <f t="shared" si="9"/>
        <v>1699.1397616131248</v>
      </c>
    </row>
    <row r="104" spans="1:7" x14ac:dyDescent="0.25">
      <c r="A104" s="7">
        <v>47423</v>
      </c>
      <c r="B104" s="8" t="s">
        <v>6</v>
      </c>
      <c r="C104" s="13">
        <f t="shared" si="8"/>
        <v>157641.64285457187</v>
      </c>
      <c r="D104" s="13" cm="1">
        <f t="array" ref="D104">rendimento_cdb(C104,CDI,CDB)</f>
        <v>2020.7688099243751</v>
      </c>
      <c r="E104" s="13" cm="1">
        <f t="array" ref="E104">irpf_regressiva(D104,0.15)</f>
        <v>303.11532</v>
      </c>
      <c r="F104" s="13">
        <v>0</v>
      </c>
      <c r="G104" s="14">
        <f t="shared" si="9"/>
        <v>1717.6534899243752</v>
      </c>
    </row>
    <row r="105" spans="1:7" x14ac:dyDescent="0.25">
      <c r="A105" s="9">
        <v>47453</v>
      </c>
      <c r="B105" s="10" t="s">
        <v>6</v>
      </c>
      <c r="C105" s="15">
        <f t="shared" si="8"/>
        <v>159359.29634449625</v>
      </c>
      <c r="D105" s="15" cm="1">
        <f t="array" ref="D105">rendimento_cdb(C105,CDI,CDB)</f>
        <v>2042.7869794456249</v>
      </c>
      <c r="E105" s="15" cm="1">
        <f t="array" ref="E105">irpf_regressiva(D105,0.15)</f>
        <v>306.41804999999999</v>
      </c>
      <c r="F105" s="15">
        <v>0</v>
      </c>
      <c r="G105" s="16">
        <f t="shared" si="9"/>
        <v>1736.3689294456249</v>
      </c>
    </row>
    <row r="106" spans="1:7" x14ac:dyDescent="0.25">
      <c r="A106" s="7">
        <v>47484</v>
      </c>
      <c r="B106" s="8" t="s">
        <v>6</v>
      </c>
      <c r="C106" s="13">
        <f t="shared" si="8"/>
        <v>161095.66527394188</v>
      </c>
      <c r="D106" s="13" cm="1">
        <f t="array" ref="D106">rendimento_cdb(C106,CDI,CDB)</f>
        <v>2065.0450595643752</v>
      </c>
      <c r="E106" s="13" cm="1">
        <f t="array" ref="E106">irpf_regressiva(D106,0.15)</f>
        <v>309.75676499999997</v>
      </c>
      <c r="F106" s="13">
        <v>0</v>
      </c>
      <c r="G106" s="14">
        <f t="shared" si="9"/>
        <v>1755.2882945643751</v>
      </c>
    </row>
    <row r="107" spans="1:7" x14ac:dyDescent="0.25">
      <c r="A107" s="9">
        <v>47515</v>
      </c>
      <c r="B107" s="10" t="s">
        <v>6</v>
      </c>
      <c r="C107" s="15">
        <f t="shared" si="8"/>
        <v>162850.95356850626</v>
      </c>
      <c r="D107" s="15" cm="1">
        <f t="array" ref="D107">rendimento_cdb(C107,CDI,CDB)</f>
        <v>2087.5456614600002</v>
      </c>
      <c r="E107" s="15" cm="1">
        <f t="array" ref="E107">irpf_regressiva(D107,0.15)</f>
        <v>313.13185500000003</v>
      </c>
      <c r="F107" s="15">
        <v>0</v>
      </c>
      <c r="G107" s="16">
        <f t="shared" si="9"/>
        <v>1774.4138064600002</v>
      </c>
    </row>
    <row r="108" spans="1:7" x14ac:dyDescent="0.25">
      <c r="A108" s="7">
        <v>47543</v>
      </c>
      <c r="B108" s="8" t="s">
        <v>6</v>
      </c>
      <c r="C108" s="13">
        <f t="shared" si="8"/>
        <v>164625.36737496627</v>
      </c>
      <c r="D108" s="13" cm="1">
        <f t="array" ref="D108">rendimento_cdb(C108,CDI,CDB)</f>
        <v>2110.2914283587497</v>
      </c>
      <c r="E108" s="13" cm="1">
        <f t="array" ref="E108">irpf_regressiva(D108,0.15)</f>
        <v>316.54370999999998</v>
      </c>
      <c r="F108" s="13">
        <v>0</v>
      </c>
      <c r="G108" s="14">
        <f t="shared" si="9"/>
        <v>1793.7477183587498</v>
      </c>
    </row>
    <row r="109" spans="1:7" x14ac:dyDescent="0.25">
      <c r="A109" s="9">
        <v>47574</v>
      </c>
      <c r="B109" s="10" t="s">
        <v>6</v>
      </c>
      <c r="C109" s="15">
        <f t="shared" si="8"/>
        <v>166419.11509332503</v>
      </c>
      <c r="D109" s="15" cm="1">
        <f t="array" ref="D109">rendimento_cdb(C109,CDI,CDB)</f>
        <v>2133.2850316881249</v>
      </c>
      <c r="E109" s="15" cm="1">
        <f t="array" ref="E109">irpf_regressiva(D109,0.15)</f>
        <v>319.99274999999994</v>
      </c>
      <c r="F109" s="15">
        <v>0</v>
      </c>
      <c r="G109" s="16">
        <f t="shared" si="9"/>
        <v>1813.2922816881251</v>
      </c>
    </row>
    <row r="110" spans="1:7" x14ac:dyDescent="0.25">
      <c r="A110" s="7">
        <v>47604</v>
      </c>
      <c r="B110" s="8" t="s">
        <v>6</v>
      </c>
      <c r="C110" s="13">
        <f t="shared" si="8"/>
        <v>168232.40737501316</v>
      </c>
      <c r="D110" s="13" cm="1">
        <f t="array" ref="D110">rendimento_cdb(C110,CDI,CDB)</f>
        <v>2156.5291723587502</v>
      </c>
      <c r="E110" s="13" cm="1">
        <f t="array" ref="E110">irpf_regressiva(D110,0.15)</f>
        <v>323.47937999999999</v>
      </c>
      <c r="F110" s="13">
        <v>0</v>
      </c>
      <c r="G110" s="14">
        <f t="shared" si="9"/>
        <v>1833.0497923587502</v>
      </c>
    </row>
    <row r="111" spans="1:7" x14ac:dyDescent="0.25">
      <c r="A111" s="9">
        <v>47635</v>
      </c>
      <c r="B111" s="10" t="s">
        <v>6</v>
      </c>
      <c r="C111" s="15">
        <f t="shared" si="8"/>
        <v>170065.4571673719</v>
      </c>
      <c r="D111" s="15" cm="1">
        <f t="array" ref="D111">rendimento_cdb(C111,CDI,CDB)</f>
        <v>2180.0265794825</v>
      </c>
      <c r="E111" s="15" cm="1">
        <f t="array" ref="E111">irpf_regressiva(D111,0.15)</f>
        <v>327.00398999999999</v>
      </c>
      <c r="F111" s="15">
        <v>0</v>
      </c>
      <c r="G111" s="16">
        <f t="shared" si="9"/>
        <v>1853.0225894825001</v>
      </c>
    </row>
    <row r="112" spans="1:7" x14ac:dyDescent="0.25">
      <c r="A112" s="7">
        <v>47665</v>
      </c>
      <c r="B112" s="8" t="s">
        <v>6</v>
      </c>
      <c r="C112" s="13">
        <f t="shared" ref="C112:C121" si="10">C111+G111</f>
        <v>171918.47975685442</v>
      </c>
      <c r="D112" s="13" cm="1">
        <f t="array" ref="D112">rendimento_cdb(C112,CDI,CDB)</f>
        <v>2203.7800129362499</v>
      </c>
      <c r="E112" s="13" cm="1">
        <f t="array" ref="E112">irpf_regressiva(D112,0.15)</f>
        <v>330.56700000000001</v>
      </c>
      <c r="F112" s="13">
        <v>0</v>
      </c>
      <c r="G112" s="14">
        <f t="shared" ref="G112:G121" si="11">D112-E112-F112</f>
        <v>1873.2130129362499</v>
      </c>
    </row>
    <row r="113" spans="1:7" x14ac:dyDescent="0.25">
      <c r="A113" s="9">
        <v>47696</v>
      </c>
      <c r="B113" s="10" t="s">
        <v>6</v>
      </c>
      <c r="C113" s="15">
        <f t="shared" si="10"/>
        <v>173791.69276979068</v>
      </c>
      <c r="D113" s="15" cm="1">
        <f t="array" ref="D113">rendimento_cdb(C113,CDI,CDB)</f>
        <v>2227.79226208</v>
      </c>
      <c r="E113" s="15" cm="1">
        <f t="array" ref="E113">irpf_regressiva(D113,0.15)</f>
        <v>334.16884499999998</v>
      </c>
      <c r="F113" s="15">
        <v>0</v>
      </c>
      <c r="G113" s="16">
        <f t="shared" si="11"/>
        <v>1893.6234170800001</v>
      </c>
    </row>
    <row r="114" spans="1:7" x14ac:dyDescent="0.25">
      <c r="A114" s="7">
        <v>47727</v>
      </c>
      <c r="B114" s="8" t="s">
        <v>6</v>
      </c>
      <c r="C114" s="13">
        <f t="shared" si="10"/>
        <v>175685.31618687068</v>
      </c>
      <c r="D114" s="13" cm="1">
        <f t="array" ref="D114">rendimento_cdb(C114,CDI,CDB)</f>
        <v>2252.0661470387499</v>
      </c>
      <c r="E114" s="13" cm="1">
        <f t="array" ref="E114">irpf_regressiva(D114,0.15)</f>
        <v>337.80991499999999</v>
      </c>
      <c r="F114" s="13">
        <v>0</v>
      </c>
      <c r="G114" s="14">
        <f t="shared" si="11"/>
        <v>1914.2562320387499</v>
      </c>
    </row>
    <row r="115" spans="1:7" x14ac:dyDescent="0.25">
      <c r="A115" s="9">
        <v>47757</v>
      </c>
      <c r="B115" s="10" t="s">
        <v>6</v>
      </c>
      <c r="C115" s="15">
        <f t="shared" si="10"/>
        <v>177599.57241890943</v>
      </c>
      <c r="D115" s="15" cm="1">
        <f t="array" ref="D115">rendimento_cdb(C115,CDI,CDB)</f>
        <v>2276.6045187025002</v>
      </c>
      <c r="E115" s="15" cm="1">
        <f t="array" ref="E115">irpf_regressiva(D115,0.15)</f>
        <v>341.49067499999995</v>
      </c>
      <c r="F115" s="15">
        <v>0</v>
      </c>
      <c r="G115" s="16">
        <f t="shared" si="11"/>
        <v>1935.1138437025002</v>
      </c>
    </row>
    <row r="116" spans="1:7" x14ac:dyDescent="0.25">
      <c r="A116" s="7">
        <v>47788</v>
      </c>
      <c r="B116" s="8" t="s">
        <v>6</v>
      </c>
      <c r="C116" s="13">
        <f t="shared" si="10"/>
        <v>179534.68626261194</v>
      </c>
      <c r="D116" s="13" cm="1">
        <f t="array" ref="D116">rendimento_cdb(C116,CDI,CDB)</f>
        <v>2301.4102600081251</v>
      </c>
      <c r="E116" s="13" cm="1">
        <f t="array" ref="E116">irpf_regressiva(D116,0.15)</f>
        <v>345.211545</v>
      </c>
      <c r="F116" s="13">
        <v>0</v>
      </c>
      <c r="G116" s="14">
        <f t="shared" si="11"/>
        <v>1956.198715008125</v>
      </c>
    </row>
    <row r="117" spans="1:7" x14ac:dyDescent="0.25">
      <c r="A117" s="9">
        <v>47818</v>
      </c>
      <c r="B117" s="10" t="s">
        <v>6</v>
      </c>
      <c r="C117" s="15">
        <f t="shared" si="10"/>
        <v>181490.88497762007</v>
      </c>
      <c r="D117" s="15" cm="1">
        <f t="array" ref="D117">rendimento_cdb(C117,CDI,CDB)</f>
        <v>2326.4862820937501</v>
      </c>
      <c r="E117" s="15" cm="1">
        <f t="array" ref="E117">irpf_regressiva(D117,0.15)</f>
        <v>348.97294499999998</v>
      </c>
      <c r="F117" s="15">
        <v>0</v>
      </c>
      <c r="G117" s="16">
        <f t="shared" si="11"/>
        <v>1977.5133370937501</v>
      </c>
    </row>
    <row r="118" spans="1:7" x14ac:dyDescent="0.25">
      <c r="A118" s="7">
        <v>47849</v>
      </c>
      <c r="B118" s="8" t="s">
        <v>6</v>
      </c>
      <c r="C118" s="13">
        <f t="shared" si="10"/>
        <v>183468.39831471382</v>
      </c>
      <c r="D118" s="13" cm="1">
        <f t="array" ref="D118">rendimento_cdb(C118,CDI,CDB)</f>
        <v>2351.8355307081251</v>
      </c>
      <c r="E118" s="13" cm="1">
        <f t="array" ref="E118">irpf_regressiva(D118,0.15)</f>
        <v>352.77532500000001</v>
      </c>
      <c r="F118" s="13">
        <v>0</v>
      </c>
      <c r="G118" s="14">
        <f t="shared" si="11"/>
        <v>1999.0602057081251</v>
      </c>
    </row>
    <row r="119" spans="1:7" x14ac:dyDescent="0.25">
      <c r="A119" s="9">
        <v>47880</v>
      </c>
      <c r="B119" s="10" t="s">
        <v>6</v>
      </c>
      <c r="C119" s="15">
        <f t="shared" si="10"/>
        <v>185467.45852042193</v>
      </c>
      <c r="D119" s="15" cm="1">
        <f t="array" ref="D119">rendimento_cdb(C119,CDI,CDB)</f>
        <v>2377.4609836468753</v>
      </c>
      <c r="E119" s="15" cm="1">
        <f t="array" ref="E119">irpf_regressiva(D119,0.15)</f>
        <v>356.61914999999993</v>
      </c>
      <c r="F119" s="15">
        <v>0</v>
      </c>
      <c r="G119" s="16">
        <f t="shared" si="11"/>
        <v>2020.8418336468753</v>
      </c>
    </row>
    <row r="120" spans="1:7" x14ac:dyDescent="0.25">
      <c r="A120" s="7">
        <v>47908</v>
      </c>
      <c r="B120" s="8" t="s">
        <v>6</v>
      </c>
      <c r="C120" s="13">
        <f t="shared" si="10"/>
        <v>187488.30035406881</v>
      </c>
      <c r="D120" s="13" cm="1">
        <f t="array" ref="D120">rendimento_cdb(C120,CDI,CDB)</f>
        <v>2403.3656507525002</v>
      </c>
      <c r="E120" s="13" cm="1">
        <f t="array" ref="E120">irpf_regressiva(D120,0.15)</f>
        <v>360.50485499999996</v>
      </c>
      <c r="F120" s="13">
        <v>0</v>
      </c>
      <c r="G120" s="14">
        <f t="shared" si="11"/>
        <v>2042.8607957525003</v>
      </c>
    </row>
    <row r="121" spans="1:7" x14ac:dyDescent="0.25">
      <c r="A121" s="9">
        <v>47939</v>
      </c>
      <c r="B121" s="10" t="s">
        <v>6</v>
      </c>
      <c r="C121" s="15">
        <f t="shared" si="10"/>
        <v>189531.1611498213</v>
      </c>
      <c r="D121" s="15" cm="1">
        <f t="array" ref="D121">rendimento_cdb(C121,CDI,CDB)</f>
        <v>2429.5525713506249</v>
      </c>
      <c r="E121" s="15" cm="1">
        <f t="array" ref="E121">irpf_regressiva(D121,0.15)</f>
        <v>364.43288999999999</v>
      </c>
      <c r="F121" s="15">
        <v>0</v>
      </c>
      <c r="G121" s="16">
        <f t="shared" si="11"/>
        <v>2065.1196813506249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9</vt:i4>
      </vt:variant>
    </vt:vector>
  </HeadingPairs>
  <TitlesOfParts>
    <vt:vector size="11" baseType="lpstr">
      <vt:lpstr>informações basicas</vt:lpstr>
      <vt:lpstr>rendimentos mensais calculos</vt:lpstr>
      <vt:lpstr>ADMIN_IMOB</vt:lpstr>
      <vt:lpstr>CDB</vt:lpstr>
      <vt:lpstr>CDI</vt:lpstr>
      <vt:lpstr>data_inicial</vt:lpstr>
      <vt:lpstr>IGPM</vt:lpstr>
      <vt:lpstr>IPCA</vt:lpstr>
      <vt:lpstr>selic</vt:lpstr>
      <vt:lpstr>TR</vt:lpstr>
      <vt:lpstr>VALOR_IMOVEL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leite</dc:creator>
  <cp:lastModifiedBy>sergio leite</cp:lastModifiedBy>
  <dcterms:created xsi:type="dcterms:W3CDTF">2015-06-05T18:19:34Z</dcterms:created>
  <dcterms:modified xsi:type="dcterms:W3CDTF">2026-04-27T23:08:17Z</dcterms:modified>
</cp:coreProperties>
</file>